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66925"/>
  <mc:AlternateContent xmlns:mc="http://schemas.openxmlformats.org/markup-compatibility/2006">
    <mc:Choice Requires="x15">
      <x15ac:absPath xmlns:x15ac="http://schemas.microsoft.com/office/spreadsheetml/2010/11/ac" url="D:\alexander\arte\Yazmin LUZ\documentos de ventas YAZMIN\"/>
    </mc:Choice>
  </mc:AlternateContent>
  <xr:revisionPtr revIDLastSave="0" documentId="13_ncr:1_{71B4DB8F-4CDE-4E4D-9B8B-E18D0C03148F}" xr6:coauthVersionLast="47" xr6:coauthVersionMax="47" xr10:uidLastSave="{00000000-0000-0000-0000-000000000000}"/>
  <bookViews>
    <workbookView xWindow="-120" yWindow="-120" windowWidth="29040" windowHeight="15720" tabRatio="645" xr2:uid="{00000000-000D-0000-FFFF-FFFF00000000}"/>
  </bookViews>
  <sheets>
    <sheet name="REGISTR" sheetId="8" r:id="rId1"/>
    <sheet name="BASE DE DATOS" sheetId="10" r:id="rId2"/>
    <sheet name="FACTURA" sheetId="1" r:id="rId3"/>
    <sheet name="FACTURA INGLES" sheetId="15" r:id="rId4"/>
    <sheet name="NROS" sheetId="13" r:id="rId5"/>
    <sheet name="CONTRATO TF" sheetId="12" r:id="rId6"/>
    <sheet name="CONTRATO kwH" sheetId="14" r:id="rId7"/>
    <sheet name="PRODUCTOS" sheetId="3" r:id="rId8"/>
    <sheet name="NUMEROS DE SECUENCIAS" sheetId="5" state="hidden" r:id="rId9"/>
    <sheet name="REGISTRO DE VENTAS" sheetId="4" r:id="rId10"/>
    <sheet name="CLIENTES" sheetId="11" r:id="rId11"/>
  </sheets>
  <externalReferences>
    <externalReference r:id="rId12"/>
  </externalReferences>
  <definedNames>
    <definedName name="Print_Area" localSheetId="5">'CONTRATO TF'!$A$1:$I$49</definedName>
    <definedName name="Print_Area" localSheetId="2">FACTURA!$B$1:$H$54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G16" i="1" l="1"/>
  <c r="L3" i="10"/>
  <c r="M3" i="10" s="1"/>
  <c r="N3" i="10" s="1"/>
  <c r="L4" i="10"/>
  <c r="M4" i="10" s="1"/>
  <c r="N4" i="10" s="1"/>
  <c r="L5" i="10"/>
  <c r="O5" i="10" s="1"/>
  <c r="L6" i="10"/>
  <c r="L7" i="10"/>
  <c r="E5" i="8"/>
  <c r="L8" i="10"/>
  <c r="E11" i="14"/>
  <c r="H11" i="14" s="1"/>
  <c r="E11" i="12"/>
  <c r="H11" i="12" s="1"/>
  <c r="L9" i="10"/>
  <c r="O9" i="10" s="1"/>
  <c r="O3" i="10" l="1"/>
  <c r="O4" i="10"/>
  <c r="M5" i="10"/>
  <c r="N5" i="10" s="1"/>
  <c r="O6" i="10"/>
  <c r="O7" i="10"/>
  <c r="O8" i="10"/>
  <c r="G8" i="4" l="1"/>
  <c r="F8" i="4"/>
  <c r="E8" i="4"/>
  <c r="C3" i="4"/>
  <c r="B3" i="4"/>
  <c r="G13" i="14"/>
  <c r="E13" i="14"/>
  <c r="E12" i="14"/>
  <c r="E10" i="14"/>
  <c r="E9" i="14"/>
  <c r="G7" i="14"/>
  <c r="G13" i="12"/>
  <c r="E13" i="12"/>
  <c r="E12" i="12"/>
  <c r="E10" i="12"/>
  <c r="E9" i="12"/>
  <c r="G7" i="12"/>
  <c r="G26" i="15"/>
  <c r="D26" i="15"/>
  <c r="G25" i="15"/>
  <c r="E25" i="15"/>
  <c r="D25" i="15"/>
  <c r="D24" i="15"/>
  <c r="F21" i="15"/>
  <c r="D21" i="15"/>
  <c r="D20" i="15"/>
  <c r="D19" i="15"/>
  <c r="G19" i="15" s="1"/>
  <c r="D18" i="15"/>
  <c r="F17" i="15"/>
  <c r="D17" i="15"/>
  <c r="F15" i="15"/>
  <c r="G23" i="1"/>
  <c r="G22" i="1"/>
  <c r="E22" i="1"/>
  <c r="D22" i="1"/>
  <c r="D21" i="1"/>
  <c r="F18" i="1"/>
  <c r="D18" i="1"/>
  <c r="D17" i="1"/>
  <c r="D16" i="1"/>
  <c r="A3" i="4" s="1"/>
  <c r="D15" i="1"/>
  <c r="F14" i="1"/>
  <c r="D14" i="1"/>
  <c r="D3" i="4" s="1"/>
  <c r="F12" i="1"/>
  <c r="H70" i="10"/>
  <c r="K70" i="10" s="1"/>
  <c r="N70" i="10" s="1"/>
  <c r="L55" i="10"/>
  <c r="L54" i="10"/>
  <c r="O54" i="10" s="1"/>
  <c r="L53" i="10"/>
  <c r="L52" i="10"/>
  <c r="O52" i="10" s="1"/>
  <c r="L51" i="10"/>
  <c r="L50" i="10"/>
  <c r="O50" i="10" s="1"/>
  <c r="L49" i="10"/>
  <c r="L48" i="10"/>
  <c r="O48" i="10" s="1"/>
  <c r="L47" i="10"/>
  <c r="L46" i="10"/>
  <c r="O46" i="10" s="1"/>
  <c r="L45" i="10"/>
  <c r="L44" i="10"/>
  <c r="O44" i="10" s="1"/>
  <c r="L43" i="10"/>
  <c r="L42" i="10"/>
  <c r="O42" i="10" s="1"/>
  <c r="L41" i="10"/>
  <c r="L40" i="10"/>
  <c r="O40" i="10" s="1"/>
  <c r="L39" i="10"/>
  <c r="L38" i="10"/>
  <c r="O38" i="10" s="1"/>
  <c r="L37" i="10"/>
  <c r="L36" i="10"/>
  <c r="O36" i="10" s="1"/>
  <c r="L35" i="10"/>
  <c r="L34" i="10"/>
  <c r="O34" i="10" s="1"/>
  <c r="L33" i="10"/>
  <c r="L32" i="10"/>
  <c r="O32" i="10" s="1"/>
  <c r="L31" i="10"/>
  <c r="L30" i="10"/>
  <c r="O30" i="10" s="1"/>
  <c r="L29" i="10"/>
  <c r="L28" i="10"/>
  <c r="O28" i="10" s="1"/>
  <c r="L27" i="10"/>
  <c r="L26" i="10"/>
  <c r="O26" i="10" s="1"/>
  <c r="L25" i="10"/>
  <c r="L24" i="10"/>
  <c r="O24" i="10" s="1"/>
  <c r="L23" i="10"/>
  <c r="L22" i="10"/>
  <c r="O22" i="10" s="1"/>
  <c r="L21" i="10"/>
  <c r="L20" i="10"/>
  <c r="O20" i="10" s="1"/>
  <c r="L19" i="10"/>
  <c r="L18" i="10"/>
  <c r="O18" i="10" s="1"/>
  <c r="L17" i="10"/>
  <c r="L16" i="10"/>
  <c r="O16" i="10" s="1"/>
  <c r="T8" i="10"/>
  <c r="L15" i="10"/>
  <c r="O15" i="10" s="1"/>
  <c r="R7" i="10"/>
  <c r="L14" i="10"/>
  <c r="O14" i="10" s="1"/>
  <c r="T6" i="10"/>
  <c r="L13" i="10"/>
  <c r="O13" i="10" s="1"/>
  <c r="L12" i="10"/>
  <c r="O12" i="10" s="1"/>
  <c r="L11" i="10"/>
  <c r="O11" i="10" s="1"/>
  <c r="L10" i="10"/>
  <c r="O10" i="10" s="1"/>
  <c r="H3" i="8"/>
  <c r="G28" i="15" l="1"/>
  <c r="G32" i="15" s="1"/>
  <c r="M7" i="10"/>
  <c r="N7" i="10" s="1"/>
  <c r="M6" i="10"/>
  <c r="N6" i="10" s="1"/>
  <c r="M9" i="10"/>
  <c r="N9" i="10" s="1"/>
  <c r="M8" i="10"/>
  <c r="N8" i="10" s="1"/>
  <c r="M25" i="10"/>
  <c r="N25" i="10" s="1"/>
  <c r="M10" i="10"/>
  <c r="N10" i="10" s="1"/>
  <c r="G25" i="1"/>
  <c r="G27" i="1" s="1"/>
  <c r="E3" i="4" s="1"/>
  <c r="M46" i="10"/>
  <c r="N46" i="10" s="1"/>
  <c r="M31" i="10"/>
  <c r="N31" i="10" s="1"/>
  <c r="M37" i="10"/>
  <c r="N37" i="10" s="1"/>
  <c r="M18" i="10"/>
  <c r="N18" i="10" s="1"/>
  <c r="M45" i="10"/>
  <c r="N45" i="10" s="1"/>
  <c r="M52" i="10"/>
  <c r="N52" i="10" s="1"/>
  <c r="M26" i="10"/>
  <c r="N26" i="10" s="1"/>
  <c r="M47" i="10"/>
  <c r="N47" i="10" s="1"/>
  <c r="M53" i="10"/>
  <c r="N53" i="10" s="1"/>
  <c r="M20" i="10"/>
  <c r="N20" i="10" s="1"/>
  <c r="M34" i="10"/>
  <c r="N34" i="10" s="1"/>
  <c r="M21" i="10"/>
  <c r="N21" i="10" s="1"/>
  <c r="M29" i="10"/>
  <c r="N29" i="10" s="1"/>
  <c r="M42" i="10"/>
  <c r="N42" i="10" s="1"/>
  <c r="M36" i="10"/>
  <c r="N36" i="10" s="1"/>
  <c r="M50" i="10"/>
  <c r="N50" i="10" s="1"/>
  <c r="M16" i="10"/>
  <c r="N16" i="10" s="1"/>
  <c r="M27" i="10"/>
  <c r="N27" i="10" s="1"/>
  <c r="M32" i="10"/>
  <c r="N32" i="10" s="1"/>
  <c r="M43" i="10"/>
  <c r="N43" i="10" s="1"/>
  <c r="M48" i="10"/>
  <c r="N48" i="10" s="1"/>
  <c r="M17" i="10"/>
  <c r="N17" i="10" s="1"/>
  <c r="M22" i="10"/>
  <c r="N22" i="10" s="1"/>
  <c r="M33" i="10"/>
  <c r="N33" i="10" s="1"/>
  <c r="M38" i="10"/>
  <c r="N38" i="10" s="1"/>
  <c r="M49" i="10"/>
  <c r="N49" i="10" s="1"/>
  <c r="M54" i="10"/>
  <c r="N54" i="10" s="1"/>
  <c r="M23" i="10"/>
  <c r="N23" i="10" s="1"/>
  <c r="M28" i="10"/>
  <c r="N28" i="10" s="1"/>
  <c r="M39" i="10"/>
  <c r="N39" i="10" s="1"/>
  <c r="M44" i="10"/>
  <c r="N44" i="10" s="1"/>
  <c r="M55" i="10"/>
  <c r="N55" i="10" s="1"/>
  <c r="M15" i="10"/>
  <c r="N15" i="10" s="1"/>
  <c r="M19" i="10"/>
  <c r="N19" i="10" s="1"/>
  <c r="M24" i="10"/>
  <c r="N24" i="10" s="1"/>
  <c r="M35" i="10"/>
  <c r="N35" i="10" s="1"/>
  <c r="M40" i="10"/>
  <c r="N40" i="10" s="1"/>
  <c r="M51" i="10"/>
  <c r="N51" i="10" s="1"/>
  <c r="M12" i="10"/>
  <c r="N12" i="10" s="1"/>
  <c r="M30" i="10"/>
  <c r="N30" i="10" s="1"/>
  <c r="M41" i="10"/>
  <c r="N41" i="10" s="1"/>
  <c r="O17" i="10"/>
  <c r="O19" i="10"/>
  <c r="O21" i="10"/>
  <c r="O23" i="10"/>
  <c r="O25" i="10"/>
  <c r="O27" i="10"/>
  <c r="O29" i="10"/>
  <c r="O31" i="10"/>
  <c r="O33" i="10"/>
  <c r="O35" i="10"/>
  <c r="O37" i="10"/>
  <c r="O39" i="10"/>
  <c r="O41" i="10"/>
  <c r="O43" i="10"/>
  <c r="O45" i="10"/>
  <c r="O47" i="10"/>
  <c r="O49" i="10"/>
  <c r="O51" i="10"/>
  <c r="O53" i="10"/>
  <c r="O55" i="10"/>
  <c r="M14" i="10"/>
  <c r="N14" i="10" s="1"/>
  <c r="L70" i="10"/>
  <c r="M11" i="10"/>
  <c r="N11" i="10" s="1"/>
  <c r="M13" i="10"/>
  <c r="N13" i="10" s="1"/>
  <c r="D29" i="15" a="1"/>
  <c r="G30" i="15" l="1"/>
  <c r="G31" i="15" s="1"/>
  <c r="G29" i="1"/>
  <c r="G3" i="4" s="1"/>
  <c r="D29" i="15"/>
  <c r="G28" i="1" l="1"/>
  <c r="F3" i="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<sst xmlns="http://schemas.openxmlformats.org/spreadsheetml/2006/main" count="773" uniqueCount="461">
  <si>
    <t>NOMBRE:</t>
  </si>
  <si>
    <t>DIRECCION</t>
  </si>
  <si>
    <t>CODIGO</t>
  </si>
  <si>
    <t>DESCRIPCION</t>
  </si>
  <si>
    <t>CANTIDAD</t>
  </si>
  <si>
    <t>P.UNIT</t>
  </si>
  <si>
    <t>P.TOTAL</t>
  </si>
  <si>
    <t>TOTAL FACTURA</t>
  </si>
  <si>
    <t>NOMBRE</t>
  </si>
  <si>
    <t>TOTAL</t>
  </si>
  <si>
    <t>SON:</t>
  </si>
  <si>
    <t>F.EMISION</t>
  </si>
  <si>
    <t>NRO.FACTURA</t>
  </si>
  <si>
    <t>ID-CLIENTE</t>
  </si>
  <si>
    <t>AGENTE DE VENTAS</t>
  </si>
  <si>
    <r>
      <t xml:space="preserve">Los planes de luz economica y sin depósito (prepagada) ofrecen SERVICIO DE ENERGIA DOMESTICA , que pueden ser de hasta 24 dias, aunque es posible contratar el servicio por tan solo 1 mes. Por otra parte, estas compañías no realizan una verificación de tu historial crediticio, por lo que te ahorras ese trámite. Los planes de luz prepagada </t>
    </r>
    <r>
      <rPr>
        <b/>
        <sz val="8"/>
        <color theme="1"/>
        <rFont val="Calibri"/>
        <family val="2"/>
        <scheme val="minor"/>
      </rPr>
      <t>NO</t>
    </r>
    <r>
      <rPr>
        <sz val="8"/>
        <color theme="1"/>
        <rFont val="Calibri"/>
        <family val="2"/>
        <scheme val="minor"/>
      </rPr>
      <t xml:space="preserve"> requiere de un depósito inicial.</t>
    </r>
  </si>
  <si>
    <t>AGENTES</t>
  </si>
  <si>
    <t>CORREO</t>
  </si>
  <si>
    <t>TOTAL PAGADO</t>
  </si>
  <si>
    <t>ENERGIA VOLT</t>
  </si>
  <si>
    <t>TELEFONO</t>
  </si>
  <si>
    <t>FECHA/EMIS.</t>
  </si>
  <si>
    <t>FECHA/CORTE</t>
  </si>
  <si>
    <t>SE ENVIARÁ NOTIFICACIONES A LOS 3 DÍAS PARA VENCERSE LA CONEXIÓN</t>
  </si>
  <si>
    <t>NOTIFICATIONS WILL BE SENT 3 DAYS AFTER THE CONNECTION EXPIRES</t>
  </si>
  <si>
    <t>COSTOS FIJOS</t>
  </si>
  <si>
    <t>CARGOS 25%</t>
  </si>
  <si>
    <t>ID -CLIENTE</t>
  </si>
  <si>
    <t>SUMINISTRO,TRANSMISIÓN,ENERGIA TARIFA FIJA,APARTAMETO</t>
  </si>
  <si>
    <t>INGRESO</t>
  </si>
  <si>
    <t>REGISTRO DE CLIENTES Y VENTAS</t>
  </si>
  <si>
    <t>NOMBRE Y APELLIDO</t>
  </si>
  <si>
    <t>FECHA DE INICIO</t>
  </si>
  <si>
    <t>FECHA DE HOY</t>
  </si>
  <si>
    <t>SSID</t>
  </si>
  <si>
    <t>METODO DE PAGO</t>
  </si>
  <si>
    <t>ID DE CLIENTE</t>
  </si>
  <si>
    <t>METODOS DE PAGO</t>
  </si>
  <si>
    <t>CASSHAPP</t>
  </si>
  <si>
    <t>ZELLE</t>
  </si>
  <si>
    <t>AJENTE DE VENTAS</t>
  </si>
  <si>
    <t>DIRECCION  ZID CODE</t>
  </si>
  <si>
    <t>Linda Romero</t>
  </si>
  <si>
    <t>TFC0001c</t>
  </si>
  <si>
    <t>TFT0002t</t>
  </si>
  <si>
    <t>TFA0003a</t>
  </si>
  <si>
    <t>AGENTE CARMEN ORTIZ</t>
  </si>
  <si>
    <t>AGENTE EMMA GARCIA</t>
  </si>
  <si>
    <t>AGENTE LUCY HERNANDEZ</t>
  </si>
  <si>
    <t>STATUS</t>
  </si>
  <si>
    <t>FECHA DE CORTE</t>
  </si>
  <si>
    <t>POR DESCONECTAR</t>
  </si>
  <si>
    <t>SIN CONEXIÓN</t>
  </si>
  <si>
    <t>CON CONEXIÓN</t>
  </si>
  <si>
    <t>DIAS TRANSCURIIDOS</t>
  </si>
  <si>
    <t>DIAS DE NOTIFICACIÓN</t>
  </si>
  <si>
    <t>Sandra Barrientos</t>
  </si>
  <si>
    <t>Lady Medina</t>
  </si>
  <si>
    <t>Rocky Gonzalez</t>
  </si>
  <si>
    <t>Participa de nuestro sistema de Referidos y disfrutaras de tu renovacion  con el 100% de descuento</t>
  </si>
  <si>
    <t>Baldenar Valdez</t>
  </si>
  <si>
    <t>Elizabeth Vargas</t>
  </si>
  <si>
    <t xml:space="preserve"> </t>
  </si>
  <si>
    <t>MENSAJERIA</t>
  </si>
  <si>
    <t>Annabell Gillen</t>
  </si>
  <si>
    <t>0</t>
  </si>
  <si>
    <t>Abraham Isaac Hernandez</t>
  </si>
  <si>
    <t>Micheal Tubbs</t>
  </si>
  <si>
    <t>Maria Cristina de Hoyos</t>
  </si>
  <si>
    <t>Nota:</t>
  </si>
  <si>
    <t>Mick Edwards</t>
  </si>
  <si>
    <t>Juan Navarro</t>
  </si>
  <si>
    <t>Jesús Gutierrez</t>
  </si>
  <si>
    <t>Maria Belmares</t>
  </si>
  <si>
    <t>Armary Marmol</t>
  </si>
  <si>
    <t>Maria Hernandez</t>
  </si>
  <si>
    <t>Cesar Villareal</t>
  </si>
  <si>
    <t>Leticia Ruiz</t>
  </si>
  <si>
    <t>Yris Rosa Rodriguez</t>
  </si>
  <si>
    <t>11800 Grant RD Apt #2706 Zid code 77429</t>
  </si>
  <si>
    <t>irisrosarodriguez35@gmail.com</t>
  </si>
  <si>
    <t>1008901050573201942100</t>
  </si>
  <si>
    <t>YROM-J107-2</t>
  </si>
  <si>
    <t>Janeth Ozuna</t>
  </si>
  <si>
    <t>Wilson Rivero</t>
  </si>
  <si>
    <t>Anieska Ortiz Martinez</t>
  </si>
  <si>
    <t>*ciertas condiciones aplica*</t>
  </si>
  <si>
    <t>Génesis  Vielma</t>
  </si>
  <si>
    <t>Fecha</t>
  </si>
  <si>
    <t>ID</t>
  </si>
  <si>
    <t>Su Fecha de Corte es el:</t>
  </si>
  <si>
    <t>s7 t14</t>
  </si>
  <si>
    <t>Maybel Andra Beckerth</t>
  </si>
  <si>
    <t>Juana Alcantara</t>
  </si>
  <si>
    <t>Lizbeth Castillo</t>
  </si>
  <si>
    <t>Yankarlo Ortiz Paramo</t>
  </si>
  <si>
    <t>Mayra Garza</t>
  </si>
  <si>
    <t>Gerardo Gonzales</t>
  </si>
  <si>
    <t>NOMBRE DEL CLIENTE</t>
  </si>
  <si>
    <t>NUMERO TELEFONICO</t>
  </si>
  <si>
    <t>(+1)9565298228</t>
  </si>
  <si>
    <t>(+1)9566390267</t>
  </si>
  <si>
    <t>(+1)8329235782</t>
  </si>
  <si>
    <t>(+1)2149002337</t>
  </si>
  <si>
    <t>(+1)3467790436</t>
  </si>
  <si>
    <t>(+1)3615718652</t>
  </si>
  <si>
    <t>Sindy Marcela Velasco Duarte</t>
  </si>
  <si>
    <t>(+1)2149448760</t>
  </si>
  <si>
    <t>(+1)8326514311</t>
  </si>
  <si>
    <t>(+1)3464120463</t>
  </si>
  <si>
    <t>(+1)8322767946</t>
  </si>
  <si>
    <t>(+1)9569990771</t>
  </si>
  <si>
    <t>(+1)9563735767</t>
  </si>
  <si>
    <t>Genesis Vielma</t>
  </si>
  <si>
    <t>(+1)3467021788</t>
  </si>
  <si>
    <t>(+1)9562935023</t>
  </si>
  <si>
    <t>Hendrina Delgado</t>
  </si>
  <si>
    <t>(+1)3562247505</t>
  </si>
  <si>
    <t>(+1)6823585461</t>
  </si>
  <si>
    <t>(+1)3462184119</t>
  </si>
  <si>
    <t>(+1)8322577571</t>
  </si>
  <si>
    <t>(+1)8322575714</t>
  </si>
  <si>
    <t>(+1)9568845875</t>
  </si>
  <si>
    <t>(+1)8322724833</t>
  </si>
  <si>
    <t>(+1)7867716515</t>
  </si>
  <si>
    <t>(+1)7134939621</t>
  </si>
  <si>
    <t>(+1)8329160160</t>
  </si>
  <si>
    <t>(+1)2816233402</t>
  </si>
  <si>
    <t>NRO</t>
  </si>
  <si>
    <t>CONTACTADO</t>
  </si>
  <si>
    <t>CONDICIÓN</t>
  </si>
  <si>
    <t>LLAMARLO DE NUEVO ESTA INTERESADO</t>
  </si>
  <si>
    <t>PENDIENTE</t>
  </si>
  <si>
    <t>NO QUIERE EL SERVICIO</t>
  </si>
  <si>
    <t>NO CONTESTA ( INSISTIR)</t>
  </si>
  <si>
    <t>NO LLAMARLO (NO INSISTIR)</t>
  </si>
  <si>
    <t>ES PROBABLE QUE CONTRATE</t>
  </si>
  <si>
    <t>LO VA A PENSAR</t>
  </si>
  <si>
    <t>LLAMARLO EN UN FUTURO</t>
  </si>
  <si>
    <t>YA TIENE CONTRATO CON OTRA EMPRESA</t>
  </si>
  <si>
    <t>YA TIENE CONTRATO CON NOSOTRO</t>
  </si>
  <si>
    <t>Ariel Gonzalez Garcia</t>
  </si>
  <si>
    <t>29321 Waller Spring Creek Rd Texas 77484</t>
  </si>
  <si>
    <t>arielydenisse@gmail.com</t>
  </si>
  <si>
    <t>10089010223213681440103</t>
  </si>
  <si>
    <t>AGOM-J107-2</t>
  </si>
  <si>
    <t>Jose Martinez</t>
  </si>
  <si>
    <t>7315 Ashcroft Dr suite 102 Houston Texas Zid Code 77081</t>
  </si>
  <si>
    <t>luisjosemartinez237@gmail.com</t>
  </si>
  <si>
    <t>1008901017126558208100</t>
  </si>
  <si>
    <t>JMAM-J107-2</t>
  </si>
  <si>
    <t>Victor Castro</t>
  </si>
  <si>
    <t>5809 Tackett Ct Fort Worth Texas Zid Code 76112</t>
  </si>
  <si>
    <t>vic1966alvarado@gmail.com</t>
  </si>
  <si>
    <t>10443720001708734</t>
  </si>
  <si>
    <t>VCAM-J107-2</t>
  </si>
  <si>
    <t>2409 Camellia Ave Mcallen Texas Zip Code 78501</t>
  </si>
  <si>
    <t>gerardo431021gmail.com</t>
  </si>
  <si>
    <t>10032789415085200</t>
  </si>
  <si>
    <t>GGOM-J107-2</t>
  </si>
  <si>
    <t>Alexa Reyes</t>
  </si>
  <si>
    <t>8101 copa de oro st Edinburg tx 78542</t>
  </si>
  <si>
    <t>Sarahirodriguez0424@gmail.com</t>
  </si>
  <si>
    <t>10032789431425155</t>
  </si>
  <si>
    <t>AREM-J107-2</t>
  </si>
  <si>
    <t>Dolores Castillo Zavala</t>
  </si>
  <si>
    <t>3401 Ocee St Apt 607 Houston Texas Postal Code 77063</t>
  </si>
  <si>
    <t>castillodolores94@gmail.com</t>
  </si>
  <si>
    <t>1008901006189093689100</t>
  </si>
  <si>
    <t>DCAM-J107-2</t>
  </si>
  <si>
    <t>Edgar Ordoñez</t>
  </si>
  <si>
    <t>9501 Beechnut St #1206 houston Texas Zip Code 77036</t>
  </si>
  <si>
    <t>santoschanaxdel59@gmail.com</t>
  </si>
  <si>
    <t>1008901017127152201100</t>
  </si>
  <si>
    <t>EORM-J107-2</t>
  </si>
  <si>
    <t>Nathalie Hernandez</t>
  </si>
  <si>
    <t>16939 Cairnloch st Houston TX 77084</t>
  </si>
  <si>
    <t>Hruby_1891@icloud.com</t>
  </si>
  <si>
    <t>1008901015185936439100</t>
  </si>
  <si>
    <t>NHEM-J107-2</t>
  </si>
  <si>
    <t>Rosalba Anaya Rios</t>
  </si>
  <si>
    <t>4502 Rachel Diann Ln Mission, TX, 78572</t>
  </si>
  <si>
    <t>rosalvarios553@mail.com</t>
  </si>
  <si>
    <t>10032789455608390</t>
  </si>
  <si>
    <t>CASHAPP</t>
  </si>
  <si>
    <t>RANM-J107-2</t>
  </si>
  <si>
    <t>940 N Eliberto St  Roma Tx 78584</t>
  </si>
  <si>
    <t>jenigarza79@gmail.com</t>
  </si>
  <si>
    <t>10032789478911530</t>
  </si>
  <si>
    <t>CGAM-J107-2</t>
  </si>
  <si>
    <t>Jennifer Garza</t>
  </si>
  <si>
    <t>Fernando Hernandez</t>
  </si>
  <si>
    <t>6425 s Gessner houston TX # 2126  77036</t>
  </si>
  <si>
    <t>fh330977@gmail.com</t>
  </si>
  <si>
    <t>1008901017126636802100</t>
  </si>
  <si>
    <t>FHEM-J107-2</t>
  </si>
  <si>
    <t xml:space="preserve">Joanna Elizabeth Chavez </t>
  </si>
  <si>
    <t>516 Prescott loop Laredo Texas 78046</t>
  </si>
  <si>
    <t>Joannachavez242@gmail.com</t>
  </si>
  <si>
    <t>10032789464807380</t>
  </si>
  <si>
    <t>JELM-J107-2</t>
  </si>
  <si>
    <t>Aleyda Bonilla</t>
  </si>
  <si>
    <t>10346 Norvic st Houston tx 77029</t>
  </si>
  <si>
    <t>elizabethbonilla021@gmail.com</t>
  </si>
  <si>
    <t>1008901004100303610100</t>
  </si>
  <si>
    <t>ABOM-J107-2</t>
  </si>
  <si>
    <t>10443720009403607</t>
  </si>
  <si>
    <t>chavid71@gmail.com</t>
  </si>
  <si>
    <t>MHEM-J107-2</t>
  </si>
  <si>
    <t xml:space="preserve">María Hernández </t>
  </si>
  <si>
    <t>2829 Mildred St Waco Tx 76706</t>
  </si>
  <si>
    <t>PAYMENT RECEIPT</t>
  </si>
  <si>
    <t>Terms and Conditions of Electricity Contract</t>
  </si>
  <si>
    <t>Angel Fuentes</t>
  </si>
  <si>
    <t>1222 Gould Ave Fort Worth,Texas 76164</t>
  </si>
  <si>
    <t>angeldfuentes@gmail.com</t>
  </si>
  <si>
    <t>10443720003022981</t>
  </si>
  <si>
    <t>AFUM-J107-2</t>
  </si>
  <si>
    <t>Sindy Marcela Velasco</t>
  </si>
  <si>
    <t>812N Center St Apt 601 Arlington Texas 76011</t>
  </si>
  <si>
    <t>marcelavelasco205@gmail.com</t>
  </si>
  <si>
    <t>10443720002173861</t>
  </si>
  <si>
    <t>SMAM-J107-2</t>
  </si>
  <si>
    <t>Rosy Vasquez</t>
  </si>
  <si>
    <t>5501 Brethshire Dr Houston Texas 77016</t>
  </si>
  <si>
    <t>1008901003101815309100</t>
  </si>
  <si>
    <t>rosyvasquez2024@gmail.com</t>
  </si>
  <si>
    <t>RVAM-J107-2</t>
  </si>
  <si>
    <t>Lady Medina Rojas</t>
  </si>
  <si>
    <t>812 N Center St Apt 304 Arlington, TX, 76011</t>
  </si>
  <si>
    <t>Medinamilenia0608@gmail.com</t>
  </si>
  <si>
    <t>10443720002174233</t>
  </si>
  <si>
    <t>LMEM-J107-2</t>
  </si>
  <si>
    <t>Wendy Tellez</t>
  </si>
  <si>
    <t>4110 Merida dr Laredo Texas 78046</t>
  </si>
  <si>
    <t xml:space="preserve">956-269-4600 </t>
  </si>
  <si>
    <t>windy.windows@hotmail.com</t>
  </si>
  <si>
    <t>10032789429161630</t>
  </si>
  <si>
    <t>WTEM-J107-2</t>
  </si>
  <si>
    <t>Edgar Rosales</t>
  </si>
  <si>
    <t>2312 w iris ave Apt 207 McAllen, TX 78501</t>
  </si>
  <si>
    <t>956-225-5745</t>
  </si>
  <si>
    <t xml:space="preserve"> rosalesyahir30@yahoo.com</t>
  </si>
  <si>
    <t>10032789412066540</t>
  </si>
  <si>
    <t>EROM-J107-2</t>
  </si>
  <si>
    <t>Omar Alexander Hernandez</t>
  </si>
  <si>
    <t>206 E Coombs ST Alvin Texas 77511</t>
  </si>
  <si>
    <t xml:space="preserve">346 775 0408 </t>
  </si>
  <si>
    <t>Alexomar1112.os@gmail.com</t>
  </si>
  <si>
    <t>10400511466690001</t>
  </si>
  <si>
    <t>OALM-J107-2</t>
  </si>
  <si>
    <t>Julia Prado</t>
  </si>
  <si>
    <t>Addrres:5875 Everhart Rd Apt C Corpus Christi, TX, 78413</t>
  </si>
  <si>
    <t>juliaanngarcia1984@gmail.com</t>
  </si>
  <si>
    <t>10032789486358371</t>
  </si>
  <si>
    <t>JPRM-J107-2</t>
  </si>
  <si>
    <t>Araceli Sanchez</t>
  </si>
  <si>
    <t>5704 N Doffing Rd Mission, TX, 78572</t>
  </si>
  <si>
    <t xml:space="preserve">arasan1967@gmail.com </t>
  </si>
  <si>
    <t>10032789413325700</t>
  </si>
  <si>
    <t>LINK DE PAGO</t>
  </si>
  <si>
    <t>ASAM-J107-2</t>
  </si>
  <si>
    <t>Antonio Gonzalez Jr</t>
  </si>
  <si>
    <t>32546 Fm 1577 San Benito, TX, 78586</t>
  </si>
  <si>
    <t>10032789498908051</t>
  </si>
  <si>
    <t>nelly09.alvarez@gmail.com</t>
  </si>
  <si>
    <t>N° FACTURA</t>
  </si>
  <si>
    <t>F2505-0109</t>
  </si>
  <si>
    <t>Juan Bravo</t>
  </si>
  <si>
    <t>625 Thompson Alvin Texas 77511</t>
  </si>
  <si>
    <t>juanbravonieto2021@gmail.com</t>
  </si>
  <si>
    <t>1008901034385088650100</t>
  </si>
  <si>
    <t>JBRM-J107-2</t>
  </si>
  <si>
    <t xml:space="preserve">Noé G Peña </t>
  </si>
  <si>
    <t>3013 Borders Dr Subd Edinburg, TX, 78542</t>
  </si>
  <si>
    <t>10032789418183568</t>
  </si>
  <si>
    <t>Leticiapena32@yahoo.Com</t>
  </si>
  <si>
    <t>NG M-J107-2</t>
  </si>
  <si>
    <t>F2506-0000</t>
  </si>
  <si>
    <t>Cecilia Flores</t>
  </si>
  <si>
    <t>6373 Us Highway 59 Trlr 1 Laredo TX 78041</t>
  </si>
  <si>
    <t>cecyflores7272@gmail.com</t>
  </si>
  <si>
    <t>10032789405986000</t>
  </si>
  <si>
    <t>CFLM-J107-2</t>
  </si>
  <si>
    <t>Elizabeth Galván</t>
  </si>
  <si>
    <t>323 Castro Urdiales Laredo Texas 78046</t>
  </si>
  <si>
    <t>elizagalvan588@gmail.com</t>
  </si>
  <si>
    <t>10032789419790800</t>
  </si>
  <si>
    <t>EGAM-J107-2</t>
  </si>
  <si>
    <t>https://synergylinght.com/</t>
  </si>
  <si>
    <t>Descuento</t>
  </si>
  <si>
    <t>Ofertas Limitada Off -30%</t>
  </si>
  <si>
    <t>F2506-0275</t>
  </si>
  <si>
    <t>Yoanis Escobar</t>
  </si>
  <si>
    <t>4315 S Kirkwood Rd Apt 106 Hou Tx 77072</t>
  </si>
  <si>
    <t>yescobard76@gmail.com</t>
  </si>
  <si>
    <t>1008901014190276119100</t>
  </si>
  <si>
    <t>YESM-J107-2</t>
  </si>
  <si>
    <t>https://www.synergylinght.com/</t>
  </si>
  <si>
    <t>Texas Business and Commerce Code</t>
  </si>
  <si>
    <t>Client's Signature</t>
  </si>
  <si>
    <t>Supplier's signature</t>
  </si>
  <si>
    <t>Contract Number</t>
  </si>
  <si>
    <t>CUSTOMER ID:</t>
  </si>
  <si>
    <t>NAME:</t>
  </si>
  <si>
    <t>ADDRESS:</t>
  </si>
  <si>
    <t>PAYMENT DATE:</t>
  </si>
  <si>
    <t>DATE/SIGNATURE</t>
  </si>
  <si>
    <t>MAIL:</t>
  </si>
  <si>
    <t>PHONE:</t>
  </si>
  <si>
    <t>Important Note: Prepaid monthly electric service means you purchase electricity before it is used. You will not receive a regular, monthly bill for exact kWh usage. Continued electric service depends on you prepaying for service in a timely manner, and if your current balance falls below the disconnection balance, your service may be disconnected with little notice. Prepaid service is not available to customers who are officially designated as a Critical Care Residential Customer or a Chronic Condition Residential Customer. Refund Policy https://synergylinght.com//refund-policy</t>
  </si>
  <si>
    <t>1167 Breezy Oaks Mansfield, TX, 76063</t>
  </si>
  <si>
    <t>espinalmji1216@gmail.com</t>
  </si>
  <si>
    <t>Ledis Espinal</t>
  </si>
  <si>
    <t>10443720001572121</t>
  </si>
  <si>
    <t>LESM-J107-2</t>
  </si>
  <si>
    <t>Wilmer Soto Garcia</t>
  </si>
  <si>
    <t>5701 Deep Forest Cir Houston, TX, 77092</t>
  </si>
  <si>
    <t>Ricardo95772@gmail.com</t>
  </si>
  <si>
    <t>1008901025001000920121</t>
  </si>
  <si>
    <t>WSOM-J107-2</t>
  </si>
  <si>
    <t>Martin Salas</t>
  </si>
  <si>
    <t>2706 hackberry ave apt 2 hidalgo tx 78557</t>
  </si>
  <si>
    <t>m.salas@rodeodental.com</t>
  </si>
  <si>
    <t>10032789414345894</t>
  </si>
  <si>
    <t>MSAM-J107-2</t>
  </si>
  <si>
    <t>CONTRATO DE SERVICIO DE SUMINISTRO ELÉCTRICO</t>
  </si>
  <si>
    <t>John F García</t>
  </si>
  <si>
    <t>3401 Astrid St Mission TX78574</t>
  </si>
  <si>
    <t xml:space="preserve">jg2001102@gmail.com. </t>
  </si>
  <si>
    <t>10032789487753927</t>
  </si>
  <si>
    <t>JF M-J107-2</t>
  </si>
  <si>
    <t>Javier Medina Bedolla</t>
  </si>
  <si>
    <t>15905 GRAPEFRUIT DR	78541</t>
  </si>
  <si>
    <t>javiermed171@gmail.com</t>
  </si>
  <si>
    <t>10032789420822497</t>
  </si>
  <si>
    <t>JMEM-J107-2</t>
  </si>
  <si>
    <t>Ingrid Lorena Vargas Hernández</t>
  </si>
  <si>
    <t>3131 Hayes Rd Apt 402-Houston, TX, 77082</t>
  </si>
  <si>
    <t>Lorenavargas1809@gmail.com</t>
  </si>
  <si>
    <t>1008901006164304605100</t>
  </si>
  <si>
    <t>ILOM-J107-2</t>
  </si>
  <si>
    <t xml:space="preserve">Esmeralda Dávila </t>
  </si>
  <si>
    <t>9910 Oak Dr Elsa TX 78543</t>
  </si>
  <si>
    <t>10032789416939182</t>
  </si>
  <si>
    <t>davilaesmeralda1973@gmail.com</t>
  </si>
  <si>
    <t>EDÁM-J107-2</t>
  </si>
  <si>
    <t>SUMINISTRO,TRANSMISIÓN,ENERGIA TARIFA,CONEXIÓN</t>
  </si>
  <si>
    <t xml:space="preserve">Alma R Cisneros Muñoz </t>
  </si>
  <si>
    <t>1310 Jackson St Apt 2 Laredo, TX, 78040</t>
  </si>
  <si>
    <t>almacis72@iCloud.com</t>
  </si>
  <si>
    <t>10032789472863420</t>
  </si>
  <si>
    <t>AR M-J107-2</t>
  </si>
  <si>
    <t>Nicole Martin</t>
  </si>
  <si>
    <t>4753 DUNCANVILLE RD APT 103 75236</t>
  </si>
  <si>
    <t>martinnikki66@gmail.com</t>
  </si>
  <si>
    <t>10443720004324541</t>
  </si>
  <si>
    <t>NMAM-J107-2</t>
  </si>
  <si>
    <t>DATE/Issue:</t>
  </si>
  <si>
    <t>EMAIL:</t>
  </si>
  <si>
    <t>DUE DATE:</t>
  </si>
  <si>
    <t>INVOICE NUMBER</t>
  </si>
  <si>
    <t>CODE</t>
  </si>
  <si>
    <t>DESCRIPTION</t>
  </si>
  <si>
    <t>QUANTITY</t>
  </si>
  <si>
    <t xml:space="preserve">UNIT </t>
  </si>
  <si>
    <t>ELECTRICAL VOLTAGE</t>
  </si>
  <si>
    <t>% CONNECTION</t>
  </si>
  <si>
    <t>TOTAL PAID</t>
  </si>
  <si>
    <t>Low-cost, no-deposit (prepaid) electricity plans offer HOME ENERGY SERVICE, which can last up to 24 days, although it's possible to sign up for service for as little as one month. Furthermore, these companies don't perform a credit check, so you avoid that process. Prepaid electricity plans DO NOT require an initial deposit.</t>
  </si>
  <si>
    <t>1. Purpose of the Contract
Synergy Light agrees to supply electricity to the Customer at the property located at the address indicated above, according to the terms and conditions established in this contract.
2. Consumption Rate Plan per kWh:
The Customer agrees to subscribe to the Synergy Light Consumption Rate Plan, which consists of the following:
Energy Charge: 10.0039¢ per kWh, a Base Charge: $4.95 per month, and AEP Texas Central Delivery Charges: $3.21 per month and 6.0380¢ per kWh, with a $50.00 deposit per kilowatt-hour (kWh) usage.
3. Benefit Plan
Stable prices and no surprises: The Customer will pay for the usage due each month. 4. Term: The contract will have an initial term of [period, 12 months], automatically renewable unless either party notifies its intention to terminate it with [notice period].
5. Rules and Conditions
The Customer must pay each monthly payment punctually on the agreed date.
In case of non-compliance, Synergy Light may suspend the energy supply upon prior notice and apply the penalties provided by law.
6. Refund Policy
Refunds for errors or improper charges: If the Customer detects an incorrect charge, they must notify Synergy Light within a reasonable period of time, for example, 15 days from the date of the charge in question.
Procedure: The Customer must submit a formal written complaint via [email or form], specifying the details of the erroneous charge. Evaluation: Synergy Light will review the complaint and, if an error is detected, will issue the corresponding refund within a maximum period of [for example, 30 days].
No refunds will be issued in other cases: No refunds will be issued for payments made in good faith under the contract, nor for changes of mind within 12 hours of payment, except in the case of a proven error on the part of the company. Sinergy Light may deduct up to 10% of the refund for administrative expenses, if applicable.
7. Limitations and Conditions
The 30% promotional rate applies only to fixed-rate programs, not per-consumption.
Charges for special connections, additional services, or damages due to misuse are not included.
8. Termination
This contract may be terminated by mutual agreement, breach by either party, or expiration of the initial term, upon [5 business days'] written notice.
9. Other Terms and Conditions
The parties agree to comply with applicable legal provisions and that any dispute will be resolved in the courts of [territorial organization].</t>
  </si>
  <si>
    <t>Andy santiel González Granja</t>
  </si>
  <si>
    <t>201 Cougar St Apt 2 San Juan, TX, 78589</t>
  </si>
  <si>
    <t>ibarramando01@gmail.com</t>
  </si>
  <si>
    <t>10032789447808540</t>
  </si>
  <si>
    <t>German Enamorado</t>
  </si>
  <si>
    <t>16121 spruce st Channelview texas 77530</t>
  </si>
  <si>
    <t>germanenamorado307@gmail.com</t>
  </si>
  <si>
    <t>1008901025003152080123</t>
  </si>
  <si>
    <t>GENM-J107-2</t>
  </si>
  <si>
    <t>Maria del Rosario Gamez</t>
  </si>
  <si>
    <t>1007 Avenue K, SOUTH HOUSTON, 77587</t>
  </si>
  <si>
    <t>mariagamez008@gmail.com</t>
  </si>
  <si>
    <t>1008901024900643420112</t>
  </si>
  <si>
    <t>Lunes</t>
  </si>
  <si>
    <t>Martes</t>
  </si>
  <si>
    <t>Miércoles</t>
  </si>
  <si>
    <t>Jueves</t>
  </si>
  <si>
    <t>Viernes</t>
  </si>
  <si>
    <t>Sábado</t>
  </si>
  <si>
    <t>Domingo</t>
  </si>
  <si>
    <t>MDEM-J107-2</t>
  </si>
  <si>
    <t>Elver Sabillon</t>
  </si>
  <si>
    <t>17010 Kings Walk Ln Houston, TX, 77070</t>
  </si>
  <si>
    <t>mausabillon2011@hotmail.com</t>
  </si>
  <si>
    <t>1008901038557710240100</t>
  </si>
  <si>
    <t>ESAM-J107-2</t>
  </si>
  <si>
    <t xml:space="preserve">Ariel Gonzalez </t>
  </si>
  <si>
    <t>29321 Waller Spring Creek Rd Waller, TX, 77484</t>
  </si>
  <si>
    <t>aqualifepooservice@gmail.com</t>
  </si>
  <si>
    <t>1008901023813681440103</t>
  </si>
  <si>
    <t>Maria G Almanza</t>
  </si>
  <si>
    <t>1418 Madero Ave Laredo TX 78043</t>
  </si>
  <si>
    <t>lupiita1288@gmail.com</t>
  </si>
  <si>
    <t>10032789422527230</t>
  </si>
  <si>
    <t>MG X-E010-2</t>
  </si>
  <si>
    <t>CONTRATO</t>
  </si>
  <si>
    <t>TARIFA FIJA</t>
  </si>
  <si>
    <t>TARIFA KWH</t>
  </si>
  <si>
    <t>Domingo Hernández</t>
  </si>
  <si>
    <t>5401 Rampart St Apt 251 Houston, TX, 7708</t>
  </si>
  <si>
    <t>Marbellahernandez1214@gmail.com</t>
  </si>
  <si>
    <t>1008901016190893862100</t>
  </si>
  <si>
    <t>DHEX-E010-2</t>
  </si>
  <si>
    <t>Jovan Barron</t>
  </si>
  <si>
    <t>2209 bringhurst houston tx 77026</t>
  </si>
  <si>
    <t>Barronjovan4@yahoo.com</t>
  </si>
  <si>
    <t>JBAX-E010-2</t>
  </si>
  <si>
    <t>Juana Carolina</t>
  </si>
  <si>
    <t>2208 17th St Plano, TX, 75074</t>
  </si>
  <si>
    <t xml:space="preserve">  zavalacaro25@gmail.com</t>
  </si>
  <si>
    <t>JCAX-E010-2</t>
  </si>
  <si>
    <t>SUMINISTRO,TRANSMISIÓN,ENERGIA TARIFA FIJA,TRAILA,CASA</t>
  </si>
  <si>
    <t>Oswaldo Muedano Hernandez</t>
  </si>
  <si>
    <t>Valdmoedano666@icloud.com</t>
  </si>
  <si>
    <t>2109 Logan Ave Laredo, TX, 78040</t>
  </si>
  <si>
    <t>AGENTE CARMEN VARGAS</t>
  </si>
  <si>
    <t>OMUX-E010-2</t>
  </si>
  <si>
    <t>FIJA</t>
  </si>
  <si>
    <t>Joann Gonzales</t>
  </si>
  <si>
    <t>4702 Old Brownsville Rd Apt 1201 Corpus Christi, TX, 78405</t>
  </si>
  <si>
    <t>joanngonzales7474@gmail.com</t>
  </si>
  <si>
    <t>JGOX-E010-2</t>
  </si>
  <si>
    <t>Paul Haley</t>
  </si>
  <si>
    <t>Dirección: 1563 Sandy Ln Apt 121, Fort Worth, TX, 76112</t>
  </si>
  <si>
    <t>Pearlinelewis1933@gmail.com</t>
  </si>
  <si>
    <t>PHAX-E010-2</t>
  </si>
  <si>
    <t>Depósito</t>
  </si>
  <si>
    <t>Cassandra De La Garza</t>
  </si>
  <si>
    <t>Address: 1754 Calle Rancho Gr,San Benito Tx 78586</t>
  </si>
  <si>
    <t>Cassandrahernandez421@gmail.com</t>
  </si>
  <si>
    <t>CDEX-E010-2</t>
  </si>
  <si>
    <t>TFA00dep9-0</t>
  </si>
  <si>
    <t>TFA00dep9-5</t>
  </si>
  <si>
    <t>Noventa y cinco exactos</t>
  </si>
  <si>
    <t>Roberto Villegas Rodríguez</t>
  </si>
  <si>
    <t>2405 Covina Ave McAllen Texas 78503</t>
  </si>
  <si>
    <r>
      <t>Enero:</t>
    </r>
    <r>
      <rPr>
        <sz val="12"/>
        <color theme="1"/>
        <rFont val="Arial"/>
        <family val="2"/>
      </rPr>
      <t xml:space="preserve"> January | Abreviatura: </t>
    </r>
    <r>
      <rPr>
        <i/>
        <sz val="12"/>
        <color theme="1"/>
        <rFont val="Arial"/>
        <family val="2"/>
      </rPr>
      <t>Jan</t>
    </r>
  </si>
  <si>
    <r>
      <t>Febrero:</t>
    </r>
    <r>
      <rPr>
        <sz val="12"/>
        <color theme="1"/>
        <rFont val="Arial"/>
        <family val="2"/>
      </rPr>
      <t xml:space="preserve"> February | Abreviatura: </t>
    </r>
    <r>
      <rPr>
        <i/>
        <sz val="12"/>
        <color theme="1"/>
        <rFont val="Arial"/>
        <family val="2"/>
      </rPr>
      <t>Feb</t>
    </r>
  </si>
  <si>
    <r>
      <t>Marzo:</t>
    </r>
    <r>
      <rPr>
        <sz val="12"/>
        <color theme="1"/>
        <rFont val="Arial"/>
        <family val="2"/>
      </rPr>
      <t xml:space="preserve"> March | Abreviatura: </t>
    </r>
    <r>
      <rPr>
        <i/>
        <sz val="12"/>
        <color theme="1"/>
        <rFont val="Arial"/>
        <family val="2"/>
      </rPr>
      <t>Mar</t>
    </r>
  </si>
  <si>
    <r>
      <t>Abril:</t>
    </r>
    <r>
      <rPr>
        <sz val="12"/>
        <color theme="1"/>
        <rFont val="Arial"/>
        <family val="2"/>
      </rPr>
      <t xml:space="preserve"> April | Abreviatura: </t>
    </r>
    <r>
      <rPr>
        <i/>
        <sz val="12"/>
        <color theme="1"/>
        <rFont val="Arial"/>
        <family val="2"/>
      </rPr>
      <t>Apr</t>
    </r>
  </si>
  <si>
    <r>
      <t>Mayo:</t>
    </r>
    <r>
      <rPr>
        <sz val="12"/>
        <color theme="1"/>
        <rFont val="Arial"/>
        <family val="2"/>
      </rPr>
      <t xml:space="preserve"> May | Abreviatura: </t>
    </r>
    <r>
      <rPr>
        <i/>
        <sz val="12"/>
        <color theme="1"/>
        <rFont val="Arial"/>
        <family val="2"/>
      </rPr>
      <t>May</t>
    </r>
    <r>
      <rPr>
        <sz val="12"/>
        <color theme="1"/>
        <rFont val="Arial"/>
        <family val="2"/>
      </rPr>
      <t xml:space="preserve"> (no se abrevia)</t>
    </r>
  </si>
  <si>
    <r>
      <t>Junio:</t>
    </r>
    <r>
      <rPr>
        <sz val="12"/>
        <color theme="1"/>
        <rFont val="Arial"/>
        <family val="2"/>
      </rPr>
      <t xml:space="preserve"> June | Abreviatura: </t>
    </r>
    <r>
      <rPr>
        <i/>
        <sz val="12"/>
        <color theme="1"/>
        <rFont val="Arial"/>
        <family val="2"/>
      </rPr>
      <t>Jun</t>
    </r>
  </si>
  <si>
    <r>
      <t>Julio:</t>
    </r>
    <r>
      <rPr>
        <sz val="12"/>
        <color theme="1"/>
        <rFont val="Arial"/>
        <family val="2"/>
      </rPr>
      <t xml:space="preserve"> July | Abreviatura: </t>
    </r>
    <r>
      <rPr>
        <i/>
        <sz val="12"/>
        <color theme="1"/>
        <rFont val="Arial"/>
        <family val="2"/>
      </rPr>
      <t>Jul</t>
    </r>
  </si>
  <si>
    <r>
      <t>Agosto:</t>
    </r>
    <r>
      <rPr>
        <sz val="12"/>
        <color theme="1"/>
        <rFont val="Arial"/>
        <family val="2"/>
      </rPr>
      <t xml:space="preserve"> August | Abreviatura: </t>
    </r>
    <r>
      <rPr>
        <i/>
        <sz val="12"/>
        <color theme="1"/>
        <rFont val="Arial"/>
        <family val="2"/>
      </rPr>
      <t>Aug</t>
    </r>
  </si>
  <si>
    <r>
      <t>Septiembre:</t>
    </r>
    <r>
      <rPr>
        <sz val="12"/>
        <color theme="1"/>
        <rFont val="Arial"/>
        <family val="2"/>
      </rPr>
      <t xml:space="preserve"> September | Abreviatura: </t>
    </r>
    <r>
      <rPr>
        <i/>
        <sz val="12"/>
        <color theme="1"/>
        <rFont val="Arial"/>
        <family val="2"/>
      </rPr>
      <t>Sep</t>
    </r>
    <r>
      <rPr>
        <sz val="12"/>
        <color theme="1"/>
        <rFont val="Arial"/>
        <family val="2"/>
      </rPr>
      <t xml:space="preserve"> o </t>
    </r>
    <r>
      <rPr>
        <i/>
        <sz val="12"/>
        <color theme="1"/>
        <rFont val="Arial"/>
        <family val="2"/>
      </rPr>
      <t>Sept</t>
    </r>
  </si>
  <si>
    <r>
      <t>Octubre:</t>
    </r>
    <r>
      <rPr>
        <sz val="12"/>
        <color theme="1"/>
        <rFont val="Arial"/>
        <family val="2"/>
      </rPr>
      <t xml:space="preserve"> October | Abreviatura: </t>
    </r>
    <r>
      <rPr>
        <i/>
        <sz val="12"/>
        <color theme="1"/>
        <rFont val="Arial"/>
        <family val="2"/>
      </rPr>
      <t>Oct</t>
    </r>
  </si>
  <si>
    <r>
      <t>Noviembre:</t>
    </r>
    <r>
      <rPr>
        <sz val="12"/>
        <color theme="1"/>
        <rFont val="Arial"/>
        <family val="2"/>
      </rPr>
      <t xml:space="preserve"> November | Abreviatura: </t>
    </r>
    <r>
      <rPr>
        <i/>
        <sz val="12"/>
        <color theme="1"/>
        <rFont val="Arial"/>
        <family val="2"/>
      </rPr>
      <t>Nov</t>
    </r>
  </si>
  <si>
    <r>
      <t>Diciembre:</t>
    </r>
    <r>
      <rPr>
        <sz val="12"/>
        <color theme="1"/>
        <rFont val="Arial"/>
        <family val="2"/>
      </rPr>
      <t xml:space="preserve"> December | Abreviatura: </t>
    </r>
    <r>
      <rPr>
        <i/>
        <sz val="12"/>
        <color theme="1"/>
        <rFont val="Arial"/>
        <family val="2"/>
      </rPr>
      <t>Dec</t>
    </r>
    <r>
      <rPr>
        <sz val="12"/>
        <color theme="1"/>
        <rFont val="Arial"/>
        <family val="2"/>
      </rPr>
      <t xml:space="preserve"> [1, 2, 3, 4, 5]</t>
    </r>
  </si>
  <si>
    <t>May 27,2026</t>
  </si>
  <si>
    <t>RVIX-E010-2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</si>
</sst>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43" formatCode="_ * #,##0.00_ ;_ * \-#,##0.00_ ;_ * &quot;-&quot;??_ ;_ @_ "/>
    <numFmt numFmtId="164" formatCode="_ &quot;S/&quot;* #,##0.00_ ;_ &quot;S/&quot;* \-#,##0.00_ ;_ &quot;S/&quot;* &quot;-&quot;??_ ;_ @_ "/>
    <numFmt numFmtId="165" formatCode="_ &quot;USD$/&quot;* #,##0.00_ ;_ &quot;S/&quot;* \-#,##0.00_ ;_ &quot;S/&quot;* &quot;-&quot;??_ ;_ @_ "/>
    <numFmt numFmtId="166" formatCode="[$-F800]dddd\,\ mmmm\ dd\,\ yyyy"/>
    <numFmt numFmtId="167" formatCode="[$$-409]#,##0.00"/>
    <numFmt numFmtId="168" formatCode="&quot;(+1)&quot;#\ ?/?"/>
    <numFmt numFmtId="169" formatCode="&quot;REC-&quot;\ &quot;500&quot;#####"/>
    <numFmt numFmtId="170" formatCode="dd/mm/yyyy;@"/>
    <numFmt numFmtId="171" formatCode="?/?#####&quot;1&quot;"/>
    <numFmt numFmtId="172" formatCode="&quot;REC-&quot;\ &quot;50&quot;#####"/>
    <numFmt numFmtId="173" formatCode="&quot;+1 &quot;#\ ?/?"/>
    <numFmt numFmtId="174" formatCode="m/d/yy;@"/>
    <numFmt numFmtId="175" formatCode="m/d/yyyy;@"/>
    <numFmt numFmtId="176" formatCode="&quot;RECIBO-&quot;\ &quot;52&quot;#####"/>
    <numFmt numFmtId="177" formatCode="[$-409]mmmm\ d\,\ yyyy;@"/>
    <numFmt numFmtId="178" formatCode="&quot;(+1)&quot;###\-#######"/>
    <numFmt numFmtId="179" formatCode="&quot;CONTRATO-&quot;\ &quot;00&quot;#####"/>
    <numFmt numFmtId="180" formatCode="\(\+\1\)\ #########"/>
    <numFmt numFmtId="181" formatCode="&quot;IR-&quot;\ &quot;52&quot;#####"/>
    <numFmt numFmtId="182" formatCode="[$-409]d\-mmm\-yyyy;@"/>
    <numFmt numFmtId="183" formatCode="[$-409]mmmm\-yy;@"/>
  </numFmts>
  <fonts count="32" x14ac:knownFonts="1">
    <font>
      <sz val="11"/>
      <color theme="1"/>
      <name val="Calibri"/>
      <family val="2"/>
      <scheme val="minor"/>
    </font>
    <font>
      <sz val="11"/>
      <color theme="1"/>
      <name val="Calibri"/>
      <family val="2"/>
      <scheme val="minor"/>
    </font>
    <font>
      <b/>
      <sz val="11"/>
      <color theme="1"/>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u/>
      <sz val="11"/>
      <color theme="10"/>
      <name val="Calibri"/>
      <family val="2"/>
      <scheme val="minor"/>
    </font>
    <font>
      <b/>
      <sz val="14"/>
      <color theme="1"/>
      <name val="Calibri"/>
      <family val="2"/>
      <scheme val="minor"/>
    </font>
    <font>
      <sz val="18"/>
      <color theme="1"/>
      <name val="Arial Rounded MT Bold"/>
      <family val="2"/>
    </font>
    <font>
      <sz val="8"/>
      <name val="Calibri"/>
      <family val="2"/>
      <scheme val="minor"/>
    </font>
    <font>
      <b/>
      <sz val="12"/>
      <color theme="1"/>
      <name val="Calibri"/>
      <family val="2"/>
      <scheme val="minor"/>
    </font>
    <font>
      <b/>
      <sz val="16"/>
      <color theme="0"/>
      <name val="Calibri"/>
      <family val="2"/>
      <scheme val="minor"/>
    </font>
    <font>
      <b/>
      <sz val="12"/>
      <color theme="0"/>
      <name val="Calibri"/>
      <family val="2"/>
      <scheme val="minor"/>
    </font>
    <font>
      <sz val="11"/>
      <color theme="0"/>
      <name val="Calibri"/>
      <family val="2"/>
      <scheme val="minor"/>
    </font>
    <font>
      <sz val="11"/>
      <color rgb="FFFF0000"/>
      <name val="Calibri"/>
      <family val="2"/>
      <scheme val="minor"/>
    </font>
    <font>
      <u/>
      <sz val="11"/>
      <color rgb="FFFF0000"/>
      <name val="Calibri"/>
      <family val="2"/>
      <scheme val="minor"/>
    </font>
    <font>
      <b/>
      <sz val="11"/>
      <color theme="0"/>
      <name val="Calibri"/>
      <family val="2"/>
      <scheme val="minor"/>
    </font>
    <font>
      <b/>
      <sz val="12"/>
      <name val="Arial"/>
      <family val="2"/>
    </font>
    <font>
      <b/>
      <sz val="16"/>
      <color theme="1"/>
      <name val="Calibri"/>
      <family val="2"/>
      <scheme val="minor"/>
    </font>
    <font>
      <sz val="6"/>
      <color theme="1"/>
      <name val="Calibri"/>
      <family val="2"/>
      <scheme val="minor"/>
    </font>
    <font>
      <b/>
      <sz val="10"/>
      <color theme="1"/>
      <name val="Calibri"/>
      <family val="2"/>
      <scheme val="minor"/>
    </font>
    <font>
      <u/>
      <sz val="11"/>
      <color rgb="FFFFFF00"/>
      <name val="Calibri"/>
      <family val="2"/>
      <scheme val="minor"/>
    </font>
    <font>
      <sz val="11"/>
      <color rgb="FFFFFF00"/>
      <name val="Calibri"/>
      <family val="2"/>
      <scheme val="minor"/>
    </font>
    <font>
      <b/>
      <sz val="6"/>
      <color rgb="FFFF0000"/>
      <name val="Calibri"/>
      <family val="2"/>
      <scheme val="minor"/>
    </font>
    <font>
      <sz val="11"/>
      <name val="Calibri"/>
      <family val="2"/>
      <scheme val="minor"/>
    </font>
    <font>
      <b/>
      <sz val="8"/>
      <color theme="0" tint="-4.9989318521683403E-2"/>
      <name val="Calibri"/>
      <family val="2"/>
      <scheme val="minor"/>
    </font>
    <font>
      <b/>
      <sz val="18"/>
      <color theme="1"/>
      <name val="Calibri"/>
      <family val="2"/>
      <scheme val="minor"/>
    </font>
    <font>
      <b/>
      <sz val="12"/>
      <color rgb="FFFF0000"/>
      <name val="Calibri"/>
      <family val="2"/>
      <scheme val="minor"/>
    </font>
    <font>
      <b/>
      <sz val="12"/>
      <color rgb="FF000000"/>
      <name val="Calibri"/>
      <family val="2"/>
    </font>
    <font>
      <sz val="12"/>
      <color theme="1"/>
      <name val="Arial"/>
      <family val="2"/>
    </font>
    <font>
      <sz val="12"/>
      <color theme="1"/>
      <name val="Arial"/>
      <family val="2"/>
    </font>
    <font>
      <i/>
      <sz val="12"/>
      <color theme="1"/>
      <name val="Arial"/>
      <family val="2"/>
    </font>
  </fonts>
  <fills count="24">
    <fill>
      <patternFill patternType="none"/>
    </fill>
    <fill>
      <patternFill patternType="gray125"/>
    </fill>
    <fill>
      <patternFill patternType="solid">
        <fgColor theme="0" tint="-0.249977111117893"/>
        <bgColor indexed="64"/>
      </patternFill>
    </fill>
    <fill>
      <patternFill patternType="solid">
        <fgColor theme="1"/>
        <bgColor indexed="64"/>
      </patternFill>
    </fill>
    <fill>
      <patternFill patternType="solid">
        <fgColor theme="4" tint="0.59999389629810485"/>
        <bgColor indexed="64"/>
      </patternFill>
    </fill>
    <fill>
      <patternFill patternType="solid">
        <fgColor rgb="FF00B0F0"/>
        <bgColor indexed="64"/>
      </patternFill>
    </fill>
    <fill>
      <patternFill patternType="solid">
        <fgColor theme="0" tint="-0.499984740745262"/>
        <bgColor indexed="64"/>
      </patternFill>
    </fill>
    <fill>
      <patternFill patternType="solid">
        <fgColor theme="0"/>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rgb="FFFF0000"/>
        <bgColor indexed="64"/>
      </patternFill>
    </fill>
    <fill>
      <patternFill patternType="solid">
        <fgColor rgb="FF0033CC"/>
        <bgColor indexed="64"/>
      </patternFill>
    </fill>
    <fill>
      <patternFill patternType="solid">
        <fgColor theme="9" tint="-0.249977111117893"/>
        <bgColor indexed="64"/>
      </patternFill>
    </fill>
    <fill>
      <patternFill patternType="solid">
        <fgColor theme="1" tint="4.9989318521683403E-2"/>
        <bgColor indexed="64"/>
      </patternFill>
    </fill>
    <fill>
      <patternFill patternType="solid">
        <fgColor rgb="FFFFFFCD"/>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theme="0" tint="-0.34998626667073579"/>
        <bgColor theme="0" tint="-0.34998626667073579"/>
      </patternFill>
    </fill>
    <fill>
      <patternFill patternType="solid">
        <fgColor rgb="FFADADB3"/>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0" tint="-0.34998626667073579"/>
        <bgColor indexed="64"/>
      </patternFill>
    </fill>
    <fill>
      <patternFill patternType="solid">
        <fgColor theme="0" tint="-0.14999847407452621"/>
        <bgColor indexed="64"/>
      </patternFill>
    </fill>
  </fills>
  <borders count="49">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right/>
      <top/>
      <bottom style="medium">
        <color indexed="64"/>
      </bottom>
      <diagonal/>
    </border>
    <border>
      <left style="hair">
        <color indexed="64"/>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top/>
      <bottom/>
      <diagonal/>
    </border>
    <border>
      <left/>
      <right style="hair">
        <color indexed="64"/>
      </right>
      <top/>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hair">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style="thick">
        <color auto="1"/>
      </top>
      <bottom/>
      <diagonal/>
    </border>
    <border>
      <left style="thin">
        <color auto="1"/>
      </left>
      <right style="thin">
        <color auto="1"/>
      </right>
      <top/>
      <bottom/>
      <diagonal/>
    </border>
    <border>
      <left/>
      <right style="thin">
        <color auto="1"/>
      </right>
      <top style="thick">
        <color auto="1"/>
      </top>
      <bottom/>
      <diagonal/>
    </border>
    <border>
      <left/>
      <right style="thin">
        <color auto="1"/>
      </right>
      <top/>
      <bottom/>
      <diagonal/>
    </border>
    <border>
      <left style="thin">
        <color auto="1"/>
      </left>
      <right/>
      <top style="thick">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ck">
        <color auto="1"/>
      </left>
      <right style="thin">
        <color auto="1"/>
      </right>
      <top style="thick">
        <color auto="1"/>
      </top>
      <bottom style="thin">
        <color auto="1"/>
      </bottom>
      <diagonal/>
    </border>
    <border>
      <left style="thin">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ck">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ck">
        <color auto="1"/>
      </left>
      <right style="thin">
        <color auto="1"/>
      </right>
      <top style="thin">
        <color auto="1"/>
      </top>
      <bottom style="thick">
        <color auto="1"/>
      </bottom>
      <diagonal/>
    </border>
    <border>
      <left style="thin">
        <color auto="1"/>
      </left>
      <right style="thin">
        <color auto="1"/>
      </right>
      <top style="thin">
        <color auto="1"/>
      </top>
      <bottom style="thick">
        <color auto="1"/>
      </bottom>
      <diagonal/>
    </border>
    <border>
      <left style="thin">
        <color auto="1"/>
      </left>
      <right style="thick">
        <color auto="1"/>
      </right>
      <top style="thin">
        <color auto="1"/>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s>
  <cellStyleXfs count="4">
    <xf numFmtId="0" fontId="0" fillId="0" borderId="0"/>
    <xf numFmtId="164" fontId="1" fillId="0" borderId="0" applyFont="0" applyFill="0" applyBorder="0" applyAlignment="0" applyProtection="0"/>
    <xf numFmtId="43" fontId="1" fillId="0" borderId="0" applyFont="0" applyFill="0" applyBorder="0" applyAlignment="0" applyProtection="0"/>
    <xf numFmtId="0" fontId="6" fillId="0" borderId="0" applyNumberFormat="0" applyFill="0" applyBorder="0" applyAlignment="0" applyProtection="0"/>
  </cellStyleXfs>
  <cellXfs count="283">
    <xf numFmtId="0" fontId="0" fillId="0" borderId="0" xfId="0"/>
    <xf numFmtId="49" fontId="0" fillId="0" borderId="0" xfId="0" applyNumberFormat="1"/>
    <xf numFmtId="164" fontId="0" fillId="0" borderId="0" xfId="1" applyFont="1"/>
    <xf numFmtId="43" fontId="0" fillId="0" borderId="0" xfId="2" applyFont="1" applyFill="1" applyBorder="1"/>
    <xf numFmtId="43" fontId="0" fillId="0" borderId="0" xfId="2" applyFont="1" applyFill="1"/>
    <xf numFmtId="43" fontId="0" fillId="4" borderId="1" xfId="2" applyFont="1" applyFill="1" applyBorder="1"/>
    <xf numFmtId="43" fontId="0" fillId="5" borderId="1" xfId="2" applyFont="1" applyFill="1" applyBorder="1"/>
    <xf numFmtId="0" fontId="3" fillId="0" borderId="0" xfId="0" applyFont="1"/>
    <xf numFmtId="0" fontId="3" fillId="3" borderId="0" xfId="0" applyFont="1" applyFill="1"/>
    <xf numFmtId="0" fontId="3" fillId="7" borderId="0" xfId="0" applyFont="1" applyFill="1"/>
    <xf numFmtId="0" fontId="3" fillId="8" borderId="0" xfId="0" applyFont="1" applyFill="1"/>
    <xf numFmtId="165" fontId="0" fillId="0" borderId="0" xfId="1" applyNumberFormat="1" applyFont="1"/>
    <xf numFmtId="165" fontId="3" fillId="10" borderId="2" xfId="1" applyNumberFormat="1" applyFont="1" applyFill="1" applyBorder="1"/>
    <xf numFmtId="0" fontId="5" fillId="3" borderId="4" xfId="0" applyFont="1" applyFill="1" applyBorder="1"/>
    <xf numFmtId="0" fontId="5" fillId="3" borderId="5" xfId="0" applyFont="1" applyFill="1" applyBorder="1"/>
    <xf numFmtId="0" fontId="5" fillId="3" borderId="6" xfId="0" applyFont="1" applyFill="1" applyBorder="1"/>
    <xf numFmtId="165" fontId="3" fillId="10" borderId="8" xfId="1" applyNumberFormat="1" applyFont="1" applyFill="1" applyBorder="1"/>
    <xf numFmtId="165" fontId="2" fillId="10" borderId="2" xfId="1" applyNumberFormat="1" applyFont="1" applyFill="1" applyBorder="1" applyAlignment="1">
      <alignment vertical="center"/>
    </xf>
    <xf numFmtId="167" fontId="0" fillId="0" borderId="0" xfId="0" applyNumberFormat="1"/>
    <xf numFmtId="167" fontId="0" fillId="0" borderId="0" xfId="2" applyNumberFormat="1" applyFont="1" applyFill="1" applyBorder="1"/>
    <xf numFmtId="2" fontId="2" fillId="6" borderId="1" xfId="0" applyNumberFormat="1" applyFont="1" applyFill="1" applyBorder="1" applyAlignment="1">
      <alignment horizontal="center" vertical="center" wrapText="1"/>
    </xf>
    <xf numFmtId="2" fontId="0" fillId="9" borderId="1" xfId="0" applyNumberFormat="1" applyFill="1" applyBorder="1" applyAlignment="1">
      <alignment wrapText="1"/>
    </xf>
    <xf numFmtId="0" fontId="3" fillId="7" borderId="0" xfId="0" applyFont="1" applyFill="1" applyAlignment="1">
      <alignment horizontal="right" vertical="center" shrinkToFit="1"/>
    </xf>
    <xf numFmtId="0" fontId="0" fillId="3" borderId="10" xfId="0" applyFill="1" applyBorder="1"/>
    <xf numFmtId="0" fontId="0" fillId="3" borderId="11" xfId="0" applyFill="1" applyBorder="1"/>
    <xf numFmtId="0" fontId="0" fillId="3" borderId="12" xfId="0" applyFill="1" applyBorder="1"/>
    <xf numFmtId="0" fontId="0" fillId="3" borderId="13" xfId="0" applyFill="1" applyBorder="1"/>
    <xf numFmtId="0" fontId="0" fillId="3" borderId="14" xfId="0" applyFill="1" applyBorder="1"/>
    <xf numFmtId="0" fontId="0" fillId="3" borderId="0" xfId="0" applyFill="1"/>
    <xf numFmtId="0" fontId="11" fillId="3" borderId="15" xfId="0" applyFont="1" applyFill="1" applyBorder="1" applyAlignment="1">
      <alignment horizontal="center" vertical="center"/>
    </xf>
    <xf numFmtId="0" fontId="10" fillId="0" borderId="0" xfId="0" applyFont="1" applyAlignment="1">
      <alignment horizontal="right" vertical="center"/>
    </xf>
    <xf numFmtId="0" fontId="10" fillId="3" borderId="11" xfId="0" applyFont="1" applyFill="1" applyBorder="1" applyAlignment="1">
      <alignment horizontal="right" vertical="center"/>
    </xf>
    <xf numFmtId="0" fontId="10" fillId="3" borderId="0" xfId="0" applyFont="1" applyFill="1" applyAlignment="1">
      <alignment horizontal="right" vertical="center"/>
    </xf>
    <xf numFmtId="0" fontId="10" fillId="2" borderId="1" xfId="0" applyFont="1" applyFill="1" applyBorder="1" applyAlignment="1">
      <alignment horizontal="right" vertical="center"/>
    </xf>
    <xf numFmtId="165" fontId="3" fillId="10" borderId="8" xfId="1" applyNumberFormat="1" applyFont="1" applyFill="1" applyBorder="1" applyAlignment="1">
      <alignment horizontal="center" vertical="center"/>
    </xf>
    <xf numFmtId="0" fontId="0" fillId="0" borderId="0" xfId="0" applyAlignment="1">
      <alignment horizontal="center" vertical="center"/>
    </xf>
    <xf numFmtId="168" fontId="0" fillId="0" borderId="0" xfId="0" applyNumberFormat="1" applyAlignment="1">
      <alignment horizontal="center" vertical="center"/>
    </xf>
    <xf numFmtId="1" fontId="0" fillId="0" borderId="0" xfId="0" applyNumberFormat="1" applyAlignment="1">
      <alignment horizontal="center" vertical="center"/>
    </xf>
    <xf numFmtId="0" fontId="0" fillId="15" borderId="1" xfId="0" applyFill="1" applyBorder="1"/>
    <xf numFmtId="170" fontId="0" fillId="0" borderId="0" xfId="0" applyNumberFormat="1" applyAlignment="1">
      <alignment horizontal="center" vertical="center"/>
    </xf>
    <xf numFmtId="0" fontId="0" fillId="0" borderId="0" xfId="0" applyAlignment="1">
      <alignment horizontal="left" vertical="center"/>
    </xf>
    <xf numFmtId="0" fontId="6" fillId="0" borderId="0" xfId="3" applyAlignment="1">
      <alignment horizontal="center" vertical="center"/>
    </xf>
    <xf numFmtId="0" fontId="13" fillId="7" borderId="0" xfId="0" applyFont="1" applyFill="1" applyAlignment="1">
      <alignment horizontal="center" vertical="center"/>
    </xf>
    <xf numFmtId="168" fontId="13" fillId="7" borderId="0" xfId="0" applyNumberFormat="1" applyFont="1" applyFill="1" applyAlignment="1">
      <alignment horizontal="center" vertical="center"/>
    </xf>
    <xf numFmtId="1" fontId="13" fillId="7" borderId="0" xfId="0" applyNumberFormat="1" applyFont="1" applyFill="1" applyAlignment="1">
      <alignment horizontal="center" vertical="center"/>
    </xf>
    <xf numFmtId="170" fontId="13" fillId="7" borderId="0" xfId="0" applyNumberFormat="1" applyFont="1" applyFill="1" applyAlignment="1">
      <alignment horizontal="center" vertical="center"/>
    </xf>
    <xf numFmtId="0" fontId="13" fillId="7" borderId="0" xfId="0" applyFont="1" applyFill="1" applyAlignment="1">
      <alignment horizontal="left" vertical="center"/>
    </xf>
    <xf numFmtId="169" fontId="0" fillId="0" borderId="0" xfId="0" applyNumberFormat="1" applyAlignment="1">
      <alignment horizontal="left" vertical="center"/>
    </xf>
    <xf numFmtId="169" fontId="0" fillId="4" borderId="1" xfId="0" applyNumberFormat="1" applyFill="1" applyBorder="1" applyAlignment="1">
      <alignment horizontal="left" vertical="center"/>
    </xf>
    <xf numFmtId="169" fontId="0" fillId="5" borderId="1" xfId="0" applyNumberFormat="1" applyFill="1" applyBorder="1" applyAlignment="1">
      <alignment horizontal="left" vertical="center"/>
    </xf>
    <xf numFmtId="0" fontId="0" fillId="0" borderId="0" xfId="0" applyAlignment="1">
      <alignment horizontal="left"/>
    </xf>
    <xf numFmtId="0" fontId="0" fillId="4" borderId="1" xfId="0" applyFill="1" applyBorder="1" applyAlignment="1">
      <alignment horizontal="left"/>
    </xf>
    <xf numFmtId="49" fontId="0" fillId="0" borderId="0" xfId="0" applyNumberFormat="1" applyAlignment="1">
      <alignment horizontal="left"/>
    </xf>
    <xf numFmtId="0" fontId="0" fillId="5" borderId="1" xfId="0" applyFill="1" applyBorder="1" applyAlignment="1">
      <alignment horizontal="left"/>
    </xf>
    <xf numFmtId="167" fontId="0" fillId="0" borderId="0" xfId="0" applyNumberFormat="1" applyAlignment="1">
      <alignment horizontal="left"/>
    </xf>
    <xf numFmtId="14" fontId="0" fillId="0" borderId="0" xfId="0" applyNumberFormat="1" applyAlignment="1">
      <alignment horizontal="left" vertical="center"/>
    </xf>
    <xf numFmtId="14" fontId="0" fillId="4" borderId="1" xfId="0" applyNumberFormat="1" applyFill="1" applyBorder="1" applyAlignment="1">
      <alignment horizontal="left" vertical="center"/>
    </xf>
    <xf numFmtId="14" fontId="0" fillId="5" borderId="1" xfId="0" applyNumberFormat="1" applyFill="1" applyBorder="1" applyAlignment="1">
      <alignment horizontal="left" vertical="center"/>
    </xf>
    <xf numFmtId="0" fontId="14" fillId="0" borderId="0" xfId="0" applyFont="1" applyAlignment="1">
      <alignment horizontal="center" vertical="center"/>
    </xf>
    <xf numFmtId="168" fontId="14" fillId="0" borderId="0" xfId="0" applyNumberFormat="1" applyFont="1" applyAlignment="1">
      <alignment horizontal="center" vertical="center"/>
    </xf>
    <xf numFmtId="0" fontId="15" fillId="0" borderId="0" xfId="3" applyFont="1" applyAlignment="1">
      <alignment horizontal="center" vertical="center"/>
    </xf>
    <xf numFmtId="1" fontId="14" fillId="0" borderId="0" xfId="0" applyNumberFormat="1" applyFont="1" applyAlignment="1">
      <alignment horizontal="center" vertical="center"/>
    </xf>
    <xf numFmtId="170" fontId="14" fillId="0" borderId="0" xfId="0" applyNumberFormat="1" applyFont="1" applyAlignment="1">
      <alignment horizontal="center" vertical="center"/>
    </xf>
    <xf numFmtId="0" fontId="14" fillId="0" borderId="0" xfId="0" applyFont="1" applyAlignment="1">
      <alignment horizontal="left" vertical="center" shrinkToFit="1"/>
    </xf>
    <xf numFmtId="172" fontId="0" fillId="0" borderId="0" xfId="0" applyNumberFormat="1" applyAlignment="1">
      <alignment horizontal="left" vertical="center"/>
    </xf>
    <xf numFmtId="0" fontId="10" fillId="6" borderId="18" xfId="0" applyFont="1" applyFill="1" applyBorder="1" applyAlignment="1">
      <alignment horizontal="center" vertical="center"/>
    </xf>
    <xf numFmtId="0" fontId="10" fillId="18" borderId="19" xfId="0" applyFont="1" applyFill="1" applyBorder="1" applyAlignment="1">
      <alignment horizontal="center" vertical="center"/>
    </xf>
    <xf numFmtId="173" fontId="0" fillId="0" borderId="0" xfId="0" applyNumberFormat="1" applyAlignment="1">
      <alignment horizontal="right" vertical="center"/>
    </xf>
    <xf numFmtId="0" fontId="10" fillId="16" borderId="1" xfId="0" applyFont="1" applyFill="1" applyBorder="1" applyAlignment="1">
      <alignment horizontal="center" vertical="center"/>
    </xf>
    <xf numFmtId="0" fontId="2" fillId="17" borderId="1" xfId="0" applyFont="1" applyFill="1" applyBorder="1" applyAlignment="1">
      <alignment horizontal="center" vertical="center"/>
    </xf>
    <xf numFmtId="174" fontId="10" fillId="16" borderId="1" xfId="0" applyNumberFormat="1" applyFont="1" applyFill="1" applyBorder="1" applyAlignment="1">
      <alignment horizontal="center" vertical="center"/>
    </xf>
    <xf numFmtId="175" fontId="0" fillId="0" borderId="0" xfId="0" applyNumberFormat="1" applyAlignment="1">
      <alignment horizontal="center" vertical="center"/>
    </xf>
    <xf numFmtId="0" fontId="3" fillId="7" borderId="0" xfId="0" applyFont="1" applyFill="1" applyAlignment="1">
      <alignment horizontal="center"/>
    </xf>
    <xf numFmtId="0" fontId="3" fillId="7" borderId="0" xfId="0" applyFont="1" applyFill="1" applyAlignment="1">
      <alignment horizontal="left" vertical="justify"/>
    </xf>
    <xf numFmtId="0" fontId="4" fillId="7" borderId="0" xfId="0" applyFont="1" applyFill="1" applyAlignment="1">
      <alignment horizontal="center" vertical="center" shrinkToFit="1"/>
    </xf>
    <xf numFmtId="0" fontId="3" fillId="7" borderId="0" xfId="0" applyFont="1" applyFill="1" applyAlignment="1">
      <alignment horizontal="center" vertical="center" shrinkToFit="1"/>
    </xf>
    <xf numFmtId="0" fontId="0" fillId="8" borderId="0" xfId="0" applyFill="1"/>
    <xf numFmtId="0" fontId="0" fillId="8" borderId="0" xfId="0" applyFill="1" applyAlignment="1">
      <alignment horizontal="center" vertical="center"/>
    </xf>
    <xf numFmtId="0" fontId="0" fillId="0" borderId="22" xfId="0"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left" vertical="center"/>
    </xf>
    <xf numFmtId="0" fontId="0" fillId="0" borderId="9" xfId="0" applyBorder="1" applyAlignment="1">
      <alignment horizontal="left" vertical="center"/>
    </xf>
    <xf numFmtId="0" fontId="12" fillId="3" borderId="23" xfId="0" applyFont="1" applyFill="1" applyBorder="1" applyAlignment="1">
      <alignment horizontal="center" vertical="center"/>
    </xf>
    <xf numFmtId="0" fontId="12" fillId="3" borderId="21" xfId="0" applyFont="1" applyFill="1" applyBorder="1" applyAlignment="1">
      <alignment horizontal="center" vertical="center"/>
    </xf>
    <xf numFmtId="0" fontId="12" fillId="3" borderId="9" xfId="0" applyFont="1" applyFill="1" applyBorder="1" applyAlignment="1">
      <alignment horizontal="center" vertical="center"/>
    </xf>
    <xf numFmtId="0" fontId="16" fillId="3" borderId="25" xfId="0" applyFont="1" applyFill="1" applyBorder="1" applyAlignment="1">
      <alignment horizontal="center" vertical="center"/>
    </xf>
    <xf numFmtId="0" fontId="3" fillId="8" borderId="21" xfId="0" applyFont="1" applyFill="1" applyBorder="1"/>
    <xf numFmtId="0" fontId="3" fillId="8" borderId="26" xfId="0" applyFont="1" applyFill="1" applyBorder="1"/>
    <xf numFmtId="173" fontId="0" fillId="0" borderId="0" xfId="0" applyNumberFormat="1" applyAlignment="1">
      <alignment horizontal="left" vertical="center"/>
    </xf>
    <xf numFmtId="0" fontId="0" fillId="0" borderId="20" xfId="0" applyBorder="1" applyAlignment="1">
      <alignment vertical="center"/>
    </xf>
    <xf numFmtId="0" fontId="0" fillId="0" borderId="21" xfId="0" applyBorder="1" applyAlignment="1">
      <alignment vertical="center"/>
    </xf>
    <xf numFmtId="0" fontId="0" fillId="0" borderId="0" xfId="0" applyAlignment="1">
      <alignment vertical="center"/>
    </xf>
    <xf numFmtId="0" fontId="0" fillId="0" borderId="21" xfId="0" applyBorder="1"/>
    <xf numFmtId="0" fontId="0" fillId="0" borderId="9" xfId="0" applyBorder="1" applyAlignment="1">
      <alignment horizontal="left"/>
    </xf>
    <xf numFmtId="0" fontId="0" fillId="0" borderId="24" xfId="0" applyBorder="1" applyAlignment="1">
      <alignment horizontal="left" vertical="center" wrapText="1"/>
    </xf>
    <xf numFmtId="0" fontId="0" fillId="0" borderId="9" xfId="0" applyBorder="1" applyAlignment="1">
      <alignment wrapText="1"/>
    </xf>
    <xf numFmtId="0" fontId="0" fillId="3" borderId="0" xfId="0" applyFill="1" applyAlignment="1">
      <alignment vertical="center"/>
    </xf>
    <xf numFmtId="0" fontId="3" fillId="19" borderId="0" xfId="0" applyFont="1" applyFill="1"/>
    <xf numFmtId="0" fontId="4" fillId="19" borderId="0" xfId="0" applyFont="1" applyFill="1" applyAlignment="1">
      <alignment horizontal="center" vertical="center"/>
    </xf>
    <xf numFmtId="0" fontId="8" fillId="19" borderId="0" xfId="0" applyFont="1" applyFill="1" applyAlignment="1">
      <alignment vertical="center"/>
    </xf>
    <xf numFmtId="0" fontId="0" fillId="19" borderId="0" xfId="0" applyFill="1" applyAlignment="1">
      <alignment vertical="center"/>
    </xf>
    <xf numFmtId="0" fontId="3" fillId="10" borderId="0" xfId="0" applyFont="1" applyFill="1"/>
    <xf numFmtId="0" fontId="4" fillId="10" borderId="0" xfId="0" applyFont="1" applyFill="1"/>
    <xf numFmtId="0" fontId="3" fillId="10" borderId="0" xfId="0" applyFont="1" applyFill="1" applyAlignment="1">
      <alignment horizontal="left" vertical="center"/>
    </xf>
    <xf numFmtId="0" fontId="3" fillId="10" borderId="0" xfId="0" applyFont="1" applyFill="1" applyAlignment="1">
      <alignment vertical="center"/>
    </xf>
    <xf numFmtId="176" fontId="4" fillId="10" borderId="0" xfId="0" applyNumberFormat="1" applyFont="1" applyFill="1" applyAlignment="1">
      <alignment horizontal="center" vertical="center"/>
    </xf>
    <xf numFmtId="177" fontId="3" fillId="10" borderId="0" xfId="0" applyNumberFormat="1" applyFont="1" applyFill="1" applyAlignment="1">
      <alignment horizontal="center" vertical="center"/>
    </xf>
    <xf numFmtId="166" fontId="3" fillId="10" borderId="0" xfId="0" applyNumberFormat="1" applyFont="1" applyFill="1" applyAlignment="1">
      <alignment vertical="center"/>
    </xf>
    <xf numFmtId="178" fontId="3" fillId="10" borderId="0" xfId="0" applyNumberFormat="1" applyFont="1" applyFill="1" applyAlignment="1">
      <alignment horizontal="left" vertical="center"/>
    </xf>
    <xf numFmtId="1" fontId="3" fillId="10" borderId="0" xfId="0" applyNumberFormat="1" applyFont="1" applyFill="1" applyAlignment="1">
      <alignment vertical="center"/>
    </xf>
    <xf numFmtId="49" fontId="3" fillId="10" borderId="7" xfId="0" applyNumberFormat="1" applyFont="1" applyFill="1" applyBorder="1"/>
    <xf numFmtId="0" fontId="3" fillId="10" borderId="0" xfId="0" applyFont="1" applyFill="1" applyAlignment="1">
      <alignment vertical="center" wrapText="1"/>
    </xf>
    <xf numFmtId="0" fontId="3" fillId="10" borderId="0" xfId="0" applyFont="1" applyFill="1" applyAlignment="1">
      <alignment horizontal="center" vertical="center"/>
    </xf>
    <xf numFmtId="165" fontId="3" fillId="10" borderId="0" xfId="1" applyNumberFormat="1" applyFont="1" applyFill="1" applyBorder="1"/>
    <xf numFmtId="49" fontId="3" fillId="10" borderId="7" xfId="0" applyNumberFormat="1" applyFont="1" applyFill="1" applyBorder="1" applyAlignment="1">
      <alignment horizontal="center" vertical="center"/>
    </xf>
    <xf numFmtId="165" fontId="3" fillId="10" borderId="0" xfId="1" applyNumberFormat="1" applyFont="1" applyFill="1" applyBorder="1" applyAlignment="1">
      <alignment horizontal="center" vertical="center"/>
    </xf>
    <xf numFmtId="0" fontId="3" fillId="10" borderId="0" xfId="0" applyFont="1" applyFill="1" applyAlignment="1">
      <alignment horizontal="left" vertical="center" wrapText="1"/>
    </xf>
    <xf numFmtId="0" fontId="4" fillId="10" borderId="0" xfId="0" applyFont="1" applyFill="1" applyAlignment="1">
      <alignment horizontal="right" vertical="top"/>
    </xf>
    <xf numFmtId="0" fontId="3" fillId="10" borderId="0" xfId="0" applyFont="1" applyFill="1" applyAlignment="1">
      <alignment horizontal="right" vertical="top"/>
    </xf>
    <xf numFmtId="0" fontId="3" fillId="3" borderId="2" xfId="0" applyFont="1" applyFill="1" applyBorder="1"/>
    <xf numFmtId="0" fontId="3" fillId="11" borderId="2" xfId="0" applyFont="1" applyFill="1" applyBorder="1" applyAlignment="1">
      <alignment shrinkToFit="1"/>
    </xf>
    <xf numFmtId="0" fontId="3" fillId="20" borderId="2" xfId="0" applyFont="1" applyFill="1" applyBorder="1" applyAlignment="1">
      <alignment shrinkToFit="1"/>
    </xf>
    <xf numFmtId="0" fontId="2" fillId="17" borderId="2" xfId="0" applyFont="1" applyFill="1" applyBorder="1" applyAlignment="1">
      <alignment horizontal="center" wrapText="1" shrinkToFit="1"/>
    </xf>
    <xf numFmtId="0" fontId="3" fillId="17" borderId="0" xfId="0" applyFont="1" applyFill="1"/>
    <xf numFmtId="49" fontId="0" fillId="0" borderId="0" xfId="0" applyNumberFormat="1" applyAlignment="1">
      <alignment horizontal="center" vertical="center" shrinkToFit="1"/>
    </xf>
    <xf numFmtId="49" fontId="14" fillId="0" borderId="0" xfId="0" applyNumberFormat="1" applyFont="1" applyAlignment="1">
      <alignment horizontal="center" vertical="center" shrinkToFit="1"/>
    </xf>
    <xf numFmtId="49" fontId="13" fillId="7" borderId="0" xfId="0" applyNumberFormat="1" applyFont="1" applyFill="1" applyAlignment="1">
      <alignment horizontal="center" vertical="center" shrinkToFit="1"/>
    </xf>
    <xf numFmtId="0" fontId="0" fillId="7" borderId="0" xfId="0" applyFill="1"/>
    <xf numFmtId="0" fontId="0" fillId="0" borderId="0" xfId="0" applyNumberFormat="1" applyAlignment="1">
      <alignment horizontal="center" vertical="center"/>
    </xf>
    <xf numFmtId="0" fontId="0" fillId="0" borderId="0" xfId="0" applyNumberFormat="1" applyAlignment="1">
      <alignment horizontal="left" vertical="center"/>
    </xf>
    <xf numFmtId="177" fontId="11" fillId="3" borderId="16" xfId="0" applyNumberFormat="1" applyFont="1" applyFill="1" applyBorder="1" applyAlignment="1">
      <alignment horizontal="center" vertical="center"/>
    </xf>
    <xf numFmtId="0" fontId="0" fillId="0" borderId="27" xfId="0" applyBorder="1"/>
    <xf numFmtId="0" fontId="0" fillId="0" borderId="0" xfId="0" applyAlignment="1"/>
    <xf numFmtId="0" fontId="0" fillId="0" borderId="0" xfId="0" applyBorder="1"/>
    <xf numFmtId="0" fontId="0" fillId="0" borderId="0" xfId="0" applyAlignment="1">
      <alignment horizontal="center" vertical="center"/>
    </xf>
    <xf numFmtId="0" fontId="3" fillId="19" borderId="28" xfId="0" applyFont="1" applyFill="1" applyBorder="1"/>
    <xf numFmtId="0" fontId="3" fillId="19" borderId="29" xfId="0" applyFont="1" applyFill="1" applyBorder="1"/>
    <xf numFmtId="0" fontId="4" fillId="19" borderId="29" xfId="0" applyFont="1" applyFill="1" applyBorder="1" applyAlignment="1">
      <alignment horizontal="center" vertical="center"/>
    </xf>
    <xf numFmtId="0" fontId="3" fillId="19" borderId="30" xfId="0" applyFont="1" applyFill="1" applyBorder="1"/>
    <xf numFmtId="0" fontId="3" fillId="19" borderId="9" xfId="0" applyFont="1" applyFill="1" applyBorder="1"/>
    <xf numFmtId="0" fontId="3" fillId="19" borderId="0" xfId="0" applyFont="1" applyFill="1" applyBorder="1"/>
    <xf numFmtId="0" fontId="4" fillId="19" borderId="0" xfId="0" applyFont="1" applyFill="1" applyBorder="1" applyAlignment="1">
      <alignment horizontal="center" vertical="center"/>
    </xf>
    <xf numFmtId="0" fontId="3" fillId="3" borderId="9" xfId="0" applyFont="1" applyFill="1" applyBorder="1"/>
    <xf numFmtId="0" fontId="0" fillId="3" borderId="0" xfId="0" applyFill="1" applyBorder="1" applyAlignment="1">
      <alignment vertical="center"/>
    </xf>
    <xf numFmtId="0" fontId="0" fillId="3" borderId="23" xfId="0" applyFill="1" applyBorder="1" applyAlignment="1">
      <alignment vertical="center"/>
    </xf>
    <xf numFmtId="0" fontId="3" fillId="10" borderId="9" xfId="0" applyFont="1" applyFill="1" applyBorder="1"/>
    <xf numFmtId="0" fontId="3" fillId="10" borderId="0" xfId="0" applyFont="1" applyFill="1" applyBorder="1" applyAlignment="1">
      <alignment vertical="center"/>
    </xf>
    <xf numFmtId="0" fontId="3" fillId="10" borderId="23" xfId="0" applyFont="1" applyFill="1" applyBorder="1"/>
    <xf numFmtId="0" fontId="3" fillId="10" borderId="0" xfId="0" applyFont="1" applyFill="1" applyBorder="1" applyAlignment="1">
      <alignment horizontal="left" vertical="center"/>
    </xf>
    <xf numFmtId="0" fontId="4" fillId="10" borderId="0" xfId="0" applyFont="1" applyFill="1" applyBorder="1" applyAlignment="1">
      <alignment horizontal="center" vertical="center" shrinkToFit="1"/>
    </xf>
    <xf numFmtId="179" fontId="4" fillId="2" borderId="0" xfId="0" applyNumberFormat="1" applyFont="1" applyFill="1" applyBorder="1" applyAlignment="1">
      <alignment horizontal="center" vertical="center"/>
    </xf>
    <xf numFmtId="0" fontId="4" fillId="10" borderId="0" xfId="0" applyFont="1" applyFill="1" applyBorder="1" applyAlignment="1">
      <alignment vertical="center"/>
    </xf>
    <xf numFmtId="177" fontId="3" fillId="10" borderId="0" xfId="0" applyNumberFormat="1" applyFont="1" applyFill="1" applyBorder="1" applyAlignment="1">
      <alignment horizontal="center" vertical="center"/>
    </xf>
    <xf numFmtId="166" fontId="3" fillId="10" borderId="0" xfId="0" applyNumberFormat="1" applyFont="1" applyFill="1" applyBorder="1" applyAlignment="1">
      <alignment vertical="center"/>
    </xf>
    <xf numFmtId="178" fontId="3" fillId="10" borderId="0" xfId="0" applyNumberFormat="1" applyFont="1" applyFill="1" applyBorder="1" applyAlignment="1">
      <alignment horizontal="left" vertical="center"/>
    </xf>
    <xf numFmtId="1" fontId="3" fillId="10" borderId="0" xfId="0" applyNumberFormat="1" applyFont="1" applyFill="1" applyBorder="1" applyAlignment="1">
      <alignment vertical="center"/>
    </xf>
    <xf numFmtId="0" fontId="0" fillId="0" borderId="9" xfId="0" applyBorder="1"/>
    <xf numFmtId="0" fontId="0" fillId="0" borderId="23" xfId="0" applyBorder="1"/>
    <xf numFmtId="0" fontId="0" fillId="0" borderId="23" xfId="0" applyBorder="1" applyAlignment="1">
      <alignment vertical="center"/>
    </xf>
    <xf numFmtId="0" fontId="4" fillId="10" borderId="0" xfId="0" applyFont="1" applyFill="1" applyAlignment="1">
      <alignment vertical="center"/>
    </xf>
    <xf numFmtId="0" fontId="4" fillId="0" borderId="0" xfId="0" applyFont="1" applyAlignment="1">
      <alignment horizontal="right" vertical="center"/>
    </xf>
    <xf numFmtId="0" fontId="4" fillId="7" borderId="0" xfId="0" applyFont="1" applyFill="1" applyAlignment="1">
      <alignment horizontal="right" vertical="center"/>
    </xf>
    <xf numFmtId="0" fontId="3" fillId="0" borderId="0" xfId="0" applyFont="1" applyAlignment="1">
      <alignment horizontal="left" vertical="center"/>
    </xf>
    <xf numFmtId="0" fontId="3" fillId="7" borderId="0" xfId="0" applyFont="1" applyFill="1" applyAlignment="1">
      <alignment horizontal="left" vertical="center"/>
    </xf>
    <xf numFmtId="177" fontId="3" fillId="0" borderId="0" xfId="0" applyNumberFormat="1" applyFont="1" applyAlignment="1">
      <alignment horizontal="left" vertical="center"/>
    </xf>
    <xf numFmtId="0" fontId="0" fillId="0" borderId="29" xfId="0" applyBorder="1" applyAlignment="1"/>
    <xf numFmtId="0" fontId="6" fillId="0" borderId="29" xfId="3" applyBorder="1" applyAlignment="1">
      <alignment vertical="center"/>
    </xf>
    <xf numFmtId="165" fontId="3" fillId="21" borderId="2" xfId="0" applyNumberFormat="1" applyFont="1" applyFill="1" applyBorder="1"/>
    <xf numFmtId="0" fontId="4" fillId="10" borderId="0" xfId="0" applyFont="1" applyFill="1" applyBorder="1" applyAlignment="1">
      <alignment horizontal="center" vertical="center" shrinkToFit="1"/>
    </xf>
    <xf numFmtId="0" fontId="4" fillId="7" borderId="0" xfId="0" applyFont="1" applyFill="1" applyAlignment="1">
      <alignment horizontal="center" vertical="center" shrinkToFit="1"/>
    </xf>
    <xf numFmtId="0" fontId="3" fillId="7" borderId="0" xfId="0" applyFont="1" applyFill="1" applyAlignment="1">
      <alignment horizontal="center" vertical="center" shrinkToFit="1"/>
    </xf>
    <xf numFmtId="167" fontId="3" fillId="10" borderId="0" xfId="0" applyNumberFormat="1" applyFont="1" applyFill="1" applyAlignment="1">
      <alignment horizontal="center" vertical="center"/>
    </xf>
    <xf numFmtId="181" fontId="4" fillId="10" borderId="0" xfId="0" applyNumberFormat="1" applyFont="1" applyFill="1" applyAlignment="1">
      <alignment horizontal="center" vertical="center"/>
    </xf>
    <xf numFmtId="0" fontId="3" fillId="6" borderId="2" xfId="0" applyFont="1" applyFill="1" applyBorder="1" applyAlignment="1">
      <alignment shrinkToFit="1"/>
    </xf>
    <xf numFmtId="0" fontId="3" fillId="0" borderId="0" xfId="0" applyFont="1" applyAlignment="1">
      <alignment vertical="center"/>
    </xf>
    <xf numFmtId="0" fontId="2" fillId="17" borderId="2" xfId="0" applyFont="1" applyFill="1" applyBorder="1" applyAlignment="1">
      <alignment horizontal="center" vertical="center" wrapText="1" shrinkToFit="1"/>
    </xf>
    <xf numFmtId="0" fontId="0" fillId="0" borderId="38" xfId="0" applyBorder="1"/>
    <xf numFmtId="0" fontId="0" fillId="0" borderId="39" xfId="0" applyBorder="1"/>
    <xf numFmtId="0" fontId="0" fillId="0" borderId="40" xfId="0" applyBorder="1"/>
    <xf numFmtId="0" fontId="0" fillId="0" borderId="41" xfId="0" applyBorder="1"/>
    <xf numFmtId="0" fontId="0" fillId="0" borderId="1" xfId="0" applyBorder="1"/>
    <xf numFmtId="0" fontId="0" fillId="0" borderId="42" xfId="0" applyBorder="1"/>
    <xf numFmtId="0" fontId="0" fillId="0" borderId="43" xfId="0" applyBorder="1"/>
    <xf numFmtId="0" fontId="0" fillId="0" borderId="44" xfId="0" applyBorder="1"/>
    <xf numFmtId="0" fontId="0" fillId="0" borderId="45" xfId="0" applyBorder="1"/>
    <xf numFmtId="0" fontId="12" fillId="3" borderId="46" xfId="0" applyFont="1" applyFill="1" applyBorder="1"/>
    <xf numFmtId="0" fontId="12" fillId="3" borderId="47" xfId="0" applyFont="1" applyFill="1" applyBorder="1"/>
    <xf numFmtId="0" fontId="27" fillId="22" borderId="48" xfId="0" applyFont="1" applyFill="1" applyBorder="1"/>
    <xf numFmtId="180" fontId="24" fillId="8" borderId="1" xfId="3" applyNumberFormat="1" applyFont="1" applyFill="1" applyBorder="1" applyAlignment="1">
      <alignment horizontal="left" vertical="center" wrapText="1"/>
    </xf>
    <xf numFmtId="49" fontId="0" fillId="8" borderId="1" xfId="0" applyNumberFormat="1" applyFill="1" applyBorder="1" applyAlignment="1">
      <alignment horizontal="left" vertical="center"/>
    </xf>
    <xf numFmtId="177" fontId="0" fillId="8" borderId="1" xfId="0" applyNumberFormat="1" applyFill="1" applyBorder="1" applyAlignment="1">
      <alignment horizontal="left" vertical="center"/>
    </xf>
    <xf numFmtId="0" fontId="0" fillId="8" borderId="1" xfId="0" applyFill="1" applyBorder="1" applyAlignment="1">
      <alignment horizontal="left" vertical="center"/>
    </xf>
    <xf numFmtId="0" fontId="0" fillId="3" borderId="0" xfId="0" applyFill="1" applyAlignment="1">
      <alignment horizontal="left" vertical="center"/>
    </xf>
    <xf numFmtId="0" fontId="0" fillId="0" borderId="0" xfId="0" applyAlignment="1">
      <alignment horizontal="left" vertical="center" wrapText="1"/>
    </xf>
    <xf numFmtId="171" fontId="0" fillId="8" borderId="1" xfId="0" applyNumberFormat="1" applyFill="1" applyBorder="1" applyAlignment="1">
      <alignment horizontal="left" vertical="center"/>
    </xf>
    <xf numFmtId="14" fontId="0" fillId="0" borderId="0" xfId="0" applyNumberFormat="1" applyAlignment="1">
      <alignment horizontal="center" vertical="center"/>
    </xf>
    <xf numFmtId="180" fontId="24" fillId="23" borderId="1" xfId="3" applyNumberFormat="1" applyFont="1" applyFill="1" applyBorder="1" applyAlignment="1">
      <alignment horizontal="center" vertical="center" wrapText="1"/>
    </xf>
    <xf numFmtId="0" fontId="6" fillId="0" borderId="0" xfId="3"/>
    <xf numFmtId="1" fontId="0" fillId="0" borderId="0" xfId="0" applyNumberFormat="1" applyAlignment="1">
      <alignment horizontal="left" vertical="top"/>
    </xf>
    <xf numFmtId="182" fontId="0" fillId="0" borderId="0" xfId="0" applyNumberFormat="1" applyAlignment="1">
      <alignment horizontal="center" vertical="center"/>
    </xf>
    <xf numFmtId="2" fontId="2" fillId="9" borderId="1" xfId="0" applyNumberFormat="1" applyFont="1" applyFill="1" applyBorder="1" applyAlignment="1">
      <alignment wrapText="1"/>
    </xf>
    <xf numFmtId="0" fontId="30" fillId="0" borderId="0" xfId="0" applyFont="1" applyAlignment="1">
      <alignment horizontal="left" vertical="center" indent="1"/>
    </xf>
    <xf numFmtId="0" fontId="26" fillId="2" borderId="0" xfId="0" applyFont="1" applyFill="1" applyAlignment="1">
      <alignment horizontal="center" vertical="center"/>
    </xf>
    <xf numFmtId="0" fontId="12" fillId="14" borderId="1" xfId="0" applyFont="1" applyFill="1" applyBorder="1" applyAlignment="1">
      <alignment horizontal="center" vertical="center"/>
    </xf>
    <xf numFmtId="0" fontId="12" fillId="13" borderId="1" xfId="0" applyFont="1" applyFill="1" applyBorder="1" applyAlignment="1">
      <alignment horizontal="center" vertical="center"/>
    </xf>
    <xf numFmtId="0" fontId="12" fillId="12" borderId="1" xfId="0" applyFont="1" applyFill="1" applyBorder="1" applyAlignment="1">
      <alignment horizontal="center" vertical="center"/>
    </xf>
    <xf numFmtId="0" fontId="12" fillId="11" borderId="1" xfId="0" applyFont="1" applyFill="1" applyBorder="1" applyAlignment="1">
      <alignment horizontal="center" vertical="center"/>
    </xf>
    <xf numFmtId="0" fontId="10" fillId="0" borderId="1" xfId="0" applyFont="1" applyBorder="1" applyAlignment="1">
      <alignment horizontal="center" vertical="center"/>
    </xf>
    <xf numFmtId="14" fontId="10" fillId="0" borderId="1" xfId="0" applyNumberFormat="1" applyFont="1" applyBorder="1" applyAlignment="1">
      <alignment horizontal="center" vertical="center"/>
    </xf>
    <xf numFmtId="0" fontId="0" fillId="14" borderId="1" xfId="0" applyFill="1" applyBorder="1" applyAlignment="1">
      <alignment horizontal="center" vertical="center"/>
    </xf>
    <xf numFmtId="0" fontId="17" fillId="11" borderId="0" xfId="0" applyFont="1" applyFill="1" applyAlignment="1">
      <alignment horizontal="center" vertical="center"/>
    </xf>
    <xf numFmtId="0" fontId="18" fillId="19" borderId="0" xfId="0" applyFont="1" applyFill="1" applyAlignment="1">
      <alignment horizontal="center" wrapText="1"/>
    </xf>
    <xf numFmtId="0" fontId="18" fillId="19" borderId="0" xfId="0" applyFont="1" applyFill="1" applyAlignment="1">
      <alignment horizontal="center"/>
    </xf>
    <xf numFmtId="0" fontId="3" fillId="7" borderId="0" xfId="0" applyFont="1" applyFill="1" applyAlignment="1">
      <alignment horizontal="center" vertical="justify" wrapText="1"/>
    </xf>
    <xf numFmtId="0" fontId="4" fillId="7" borderId="0" xfId="0" applyFont="1" applyFill="1" applyAlignment="1">
      <alignment horizontal="center" vertical="center"/>
    </xf>
    <xf numFmtId="0" fontId="4" fillId="10" borderId="0" xfId="0" applyFont="1" applyFill="1" applyAlignment="1">
      <alignment horizontal="center" vertical="center" shrinkToFit="1"/>
    </xf>
    <xf numFmtId="0" fontId="21" fillId="3" borderId="0" xfId="3" applyFont="1" applyFill="1" applyAlignment="1">
      <alignment horizontal="center" vertical="top"/>
    </xf>
    <xf numFmtId="0" fontId="22" fillId="3" borderId="0" xfId="0" applyFont="1" applyFill="1" applyAlignment="1">
      <alignment horizontal="center" vertical="top"/>
    </xf>
    <xf numFmtId="0" fontId="20" fillId="10" borderId="0" xfId="0" applyFont="1" applyFill="1" applyAlignment="1">
      <alignment horizontal="center" vertical="center"/>
    </xf>
    <xf numFmtId="0" fontId="4" fillId="7" borderId="0" xfId="0" applyFont="1" applyFill="1" applyAlignment="1">
      <alignment horizontal="center"/>
    </xf>
    <xf numFmtId="177" fontId="3" fillId="10" borderId="0" xfId="0" applyNumberFormat="1" applyFont="1" applyFill="1" applyAlignment="1">
      <alignment horizontal="left" vertical="center"/>
    </xf>
    <xf numFmtId="0" fontId="3" fillId="7" borderId="0" xfId="0" applyFont="1" applyFill="1" applyAlignment="1">
      <alignment horizontal="center" vertical="center"/>
    </xf>
    <xf numFmtId="1" fontId="4" fillId="10" borderId="0" xfId="0" applyNumberFormat="1" applyFont="1" applyFill="1" applyAlignment="1">
      <alignment horizontal="center" vertical="center" shrinkToFit="1"/>
    </xf>
    <xf numFmtId="0" fontId="4" fillId="10" borderId="0" xfId="0" applyFont="1" applyFill="1" applyAlignment="1">
      <alignment horizontal="center" vertical="center"/>
    </xf>
    <xf numFmtId="0" fontId="4" fillId="7" borderId="0" xfId="0" applyFont="1" applyFill="1" applyAlignment="1">
      <alignment horizontal="center" vertical="center" shrinkToFit="1"/>
    </xf>
    <xf numFmtId="0" fontId="3" fillId="7" borderId="0" xfId="0" applyFont="1" applyFill="1" applyAlignment="1">
      <alignment horizontal="center" vertical="center" shrinkToFit="1"/>
    </xf>
    <xf numFmtId="0" fontId="4" fillId="10" borderId="17" xfId="0" applyFont="1" applyFill="1" applyBorder="1" applyAlignment="1">
      <alignment horizontal="center" wrapText="1"/>
    </xf>
    <xf numFmtId="0" fontId="4" fillId="10" borderId="0" xfId="0" applyFont="1" applyFill="1" applyAlignment="1">
      <alignment horizontal="center" wrapText="1"/>
    </xf>
    <xf numFmtId="0" fontId="10" fillId="10" borderId="0" xfId="0" applyFont="1" applyFill="1" applyAlignment="1">
      <alignment horizontal="center" vertical="center"/>
    </xf>
    <xf numFmtId="0" fontId="7" fillId="10" borderId="0" xfId="0" applyFont="1" applyFill="1" applyAlignment="1">
      <alignment horizontal="center"/>
    </xf>
    <xf numFmtId="0" fontId="25" fillId="6" borderId="0" xfId="0" applyFont="1" applyFill="1" applyAlignment="1">
      <alignment horizontal="center" vertical="center"/>
    </xf>
    <xf numFmtId="0" fontId="20" fillId="0" borderId="0" xfId="0" applyFont="1" applyAlignment="1">
      <alignment horizontal="left"/>
    </xf>
    <xf numFmtId="0" fontId="3" fillId="10" borderId="0" xfId="0" applyFont="1" applyFill="1" applyAlignment="1">
      <alignment horizontal="center" vertical="center"/>
    </xf>
    <xf numFmtId="0" fontId="2" fillId="19" borderId="0" xfId="0" applyFont="1" applyFill="1" applyBorder="1" applyAlignment="1">
      <alignment horizontal="center" wrapText="1"/>
    </xf>
    <xf numFmtId="0" fontId="2" fillId="19" borderId="23" xfId="0" applyFont="1" applyFill="1" applyBorder="1" applyAlignment="1">
      <alignment horizontal="center" wrapText="1"/>
    </xf>
    <xf numFmtId="0" fontId="17" fillId="11" borderId="9" xfId="0" applyFont="1" applyFill="1" applyBorder="1" applyAlignment="1">
      <alignment horizontal="center" vertical="center"/>
    </xf>
    <xf numFmtId="0" fontId="17" fillId="11" borderId="0" xfId="0" applyFont="1" applyFill="1" applyBorder="1" applyAlignment="1">
      <alignment horizontal="center" vertical="center"/>
    </xf>
    <xf numFmtId="0" fontId="17" fillId="11" borderId="23" xfId="0" applyFont="1" applyFill="1" applyBorder="1" applyAlignment="1">
      <alignment horizontal="center" vertical="center"/>
    </xf>
    <xf numFmtId="0" fontId="4" fillId="10" borderId="0" xfId="0" applyFont="1" applyFill="1" applyBorder="1" applyAlignment="1">
      <alignment horizontal="center" vertical="center" shrinkToFit="1"/>
    </xf>
    <xf numFmtId="177" fontId="3" fillId="10" borderId="0" xfId="0" applyNumberFormat="1" applyFont="1" applyFill="1" applyBorder="1" applyAlignment="1">
      <alignment horizontal="left" vertical="center"/>
    </xf>
    <xf numFmtId="0" fontId="4" fillId="10" borderId="0" xfId="0" applyFont="1" applyFill="1" applyBorder="1" applyAlignment="1">
      <alignment horizontal="center" vertical="center"/>
    </xf>
    <xf numFmtId="0" fontId="0" fillId="0" borderId="29" xfId="0" applyBorder="1" applyAlignment="1">
      <alignment horizontal="center"/>
    </xf>
    <xf numFmtId="0" fontId="4" fillId="10" borderId="0" xfId="0" applyFont="1" applyFill="1" applyBorder="1" applyAlignment="1">
      <alignment horizontal="right" vertical="center"/>
    </xf>
    <xf numFmtId="0" fontId="23" fillId="7" borderId="28" xfId="0" applyFont="1" applyFill="1" applyBorder="1" applyAlignment="1">
      <alignment horizontal="left" vertical="center" wrapText="1"/>
    </xf>
    <xf numFmtId="0" fontId="19" fillId="7" borderId="29" xfId="0" applyFont="1" applyFill="1" applyBorder="1" applyAlignment="1">
      <alignment horizontal="left" vertical="center"/>
    </xf>
    <xf numFmtId="0" fontId="19" fillId="7" borderId="30" xfId="0" applyFont="1" applyFill="1" applyBorder="1" applyAlignment="1">
      <alignment horizontal="left" vertical="center"/>
    </xf>
    <xf numFmtId="0" fontId="19" fillId="7" borderId="9" xfId="0" applyFont="1" applyFill="1" applyBorder="1" applyAlignment="1">
      <alignment horizontal="left" vertical="center"/>
    </xf>
    <xf numFmtId="0" fontId="19" fillId="7" borderId="0" xfId="0" applyFont="1" applyFill="1" applyBorder="1" applyAlignment="1">
      <alignment horizontal="left" vertical="center"/>
    </xf>
    <xf numFmtId="0" fontId="19" fillId="7" borderId="23" xfId="0" applyFont="1" applyFill="1" applyBorder="1" applyAlignment="1">
      <alignment horizontal="left" vertical="center"/>
    </xf>
    <xf numFmtId="0" fontId="19" fillId="7" borderId="33" xfId="0" applyFont="1" applyFill="1" applyBorder="1" applyAlignment="1">
      <alignment horizontal="left" vertical="center"/>
    </xf>
    <xf numFmtId="0" fontId="19" fillId="7" borderId="3" xfId="0" applyFont="1" applyFill="1" applyBorder="1" applyAlignment="1">
      <alignment horizontal="left" vertical="center"/>
    </xf>
    <xf numFmtId="0" fontId="19" fillId="7" borderId="34" xfId="0" applyFont="1" applyFill="1" applyBorder="1" applyAlignment="1">
      <alignment horizontal="left" vertical="center"/>
    </xf>
    <xf numFmtId="0" fontId="4" fillId="7" borderId="28" xfId="0" applyFont="1" applyFill="1" applyBorder="1" applyAlignment="1">
      <alignment horizontal="left" vertical="center" wrapText="1"/>
    </xf>
    <xf numFmtId="0" fontId="4" fillId="7" borderId="29" xfId="0" applyFont="1" applyFill="1" applyBorder="1" applyAlignment="1">
      <alignment horizontal="left" vertical="center" wrapText="1"/>
    </xf>
    <xf numFmtId="0" fontId="4" fillId="7" borderId="30" xfId="0" applyFont="1" applyFill="1" applyBorder="1" applyAlignment="1">
      <alignment horizontal="left" vertical="center" wrapText="1"/>
    </xf>
    <xf numFmtId="0" fontId="4" fillId="7" borderId="9" xfId="0" applyFont="1" applyFill="1" applyBorder="1" applyAlignment="1">
      <alignment horizontal="left" vertical="center" wrapText="1"/>
    </xf>
    <xf numFmtId="0" fontId="4" fillId="7" borderId="0" xfId="0" applyFont="1" applyFill="1" applyBorder="1" applyAlignment="1">
      <alignment horizontal="left" vertical="center" wrapText="1"/>
    </xf>
    <xf numFmtId="0" fontId="4" fillId="7" borderId="23" xfId="0" applyFont="1" applyFill="1" applyBorder="1" applyAlignment="1">
      <alignment horizontal="left" vertical="center" wrapText="1"/>
    </xf>
    <xf numFmtId="0" fontId="4" fillId="7" borderId="31" xfId="0" applyFont="1" applyFill="1" applyBorder="1" applyAlignment="1">
      <alignment horizontal="left" vertical="center" wrapText="1"/>
    </xf>
    <xf numFmtId="0" fontId="4" fillId="7" borderId="27" xfId="0" applyFont="1" applyFill="1" applyBorder="1" applyAlignment="1">
      <alignment horizontal="left" vertical="center" wrapText="1"/>
    </xf>
    <xf numFmtId="0" fontId="4" fillId="7" borderId="32" xfId="0" applyFont="1" applyFill="1" applyBorder="1" applyAlignment="1">
      <alignment horizontal="left" vertical="center" wrapText="1"/>
    </xf>
    <xf numFmtId="1" fontId="4" fillId="2" borderId="0" xfId="0" applyNumberFormat="1" applyFont="1" applyFill="1" applyBorder="1" applyAlignment="1">
      <alignment horizontal="center" vertical="center" shrinkToFit="1"/>
    </xf>
    <xf numFmtId="0" fontId="0" fillId="0" borderId="29" xfId="0" applyBorder="1" applyAlignment="1">
      <alignment horizontal="center" vertical="top"/>
    </xf>
    <xf numFmtId="0" fontId="19" fillId="0" borderId="31" xfId="0" applyFont="1" applyBorder="1" applyAlignment="1">
      <alignment horizontal="left" vertical="top" wrapText="1"/>
    </xf>
    <xf numFmtId="0" fontId="19" fillId="0" borderId="27" xfId="0" applyFont="1" applyBorder="1" applyAlignment="1">
      <alignment horizontal="left" vertical="top"/>
    </xf>
    <xf numFmtId="0" fontId="19" fillId="0" borderId="32" xfId="0" applyFont="1" applyBorder="1" applyAlignment="1">
      <alignment horizontal="left" vertical="top"/>
    </xf>
    <xf numFmtId="0" fontId="0" fillId="0" borderId="0" xfId="0" applyBorder="1" applyAlignment="1">
      <alignment horizontal="center" vertical="center"/>
    </xf>
    <xf numFmtId="0" fontId="0" fillId="0" borderId="27" xfId="0" applyBorder="1" applyAlignment="1">
      <alignment horizontal="center" vertical="center"/>
    </xf>
    <xf numFmtId="0" fontId="0" fillId="0" borderId="0" xfId="0" applyBorder="1" applyAlignment="1">
      <alignment horizontal="center"/>
    </xf>
    <xf numFmtId="0" fontId="4" fillId="8" borderId="35" xfId="0" applyFont="1" applyFill="1" applyBorder="1" applyAlignment="1">
      <alignment horizontal="center" vertical="center" wrapText="1"/>
    </xf>
    <xf numFmtId="0" fontId="4" fillId="8" borderId="36" xfId="0" applyFont="1" applyFill="1" applyBorder="1" applyAlignment="1">
      <alignment horizontal="center" vertical="center" wrapText="1"/>
    </xf>
    <xf numFmtId="0" fontId="4" fillId="8" borderId="37" xfId="0" applyFont="1" applyFill="1" applyBorder="1" applyAlignment="1">
      <alignment horizontal="center" vertical="center" wrapText="1"/>
    </xf>
    <xf numFmtId="0" fontId="6" fillId="0" borderId="29" xfId="3" applyBorder="1" applyAlignment="1">
      <alignment horizontal="center"/>
    </xf>
    <xf numFmtId="0" fontId="4" fillId="8" borderId="28" xfId="0" applyFont="1" applyFill="1" applyBorder="1" applyAlignment="1">
      <alignment horizontal="left" vertical="top" wrapText="1"/>
    </xf>
    <xf numFmtId="0" fontId="4" fillId="8" borderId="29" xfId="0" applyFont="1" applyFill="1" applyBorder="1" applyAlignment="1">
      <alignment horizontal="left" vertical="top" wrapText="1"/>
    </xf>
    <xf numFmtId="0" fontId="4" fillId="8" borderId="30" xfId="0" applyFont="1" applyFill="1" applyBorder="1" applyAlignment="1">
      <alignment horizontal="left" vertical="top" wrapText="1"/>
    </xf>
    <xf numFmtId="0" fontId="4" fillId="8" borderId="9" xfId="0" applyFont="1" applyFill="1" applyBorder="1" applyAlignment="1">
      <alignment horizontal="left" vertical="top" wrapText="1"/>
    </xf>
    <xf numFmtId="0" fontId="4" fillId="8" borderId="0" xfId="0" applyFont="1" applyFill="1" applyBorder="1" applyAlignment="1">
      <alignment horizontal="left" vertical="top" wrapText="1"/>
    </xf>
    <xf numFmtId="0" fontId="4" fillId="8" borderId="23" xfId="0" applyFont="1" applyFill="1" applyBorder="1" applyAlignment="1">
      <alignment horizontal="left" vertical="top" wrapText="1"/>
    </xf>
    <xf numFmtId="0" fontId="4" fillId="8" borderId="31" xfId="0" applyFont="1" applyFill="1" applyBorder="1" applyAlignment="1">
      <alignment horizontal="left" vertical="top" wrapText="1"/>
    </xf>
    <xf numFmtId="0" fontId="4" fillId="8" borderId="27" xfId="0" applyFont="1" applyFill="1" applyBorder="1" applyAlignment="1">
      <alignment horizontal="left" vertical="top" wrapText="1"/>
    </xf>
    <xf numFmtId="0" fontId="4" fillId="8" borderId="32" xfId="0" applyFont="1" applyFill="1" applyBorder="1" applyAlignment="1">
      <alignment horizontal="left" vertical="top" wrapText="1"/>
    </xf>
    <xf numFmtId="183" fontId="3" fillId="10" borderId="0" xfId="0" applyNumberFormat="1" applyFont="1" applyFill="1" applyAlignment="1">
      <alignment horizontal="center" vertical="center"/>
    </xf>
  </cellXfs>
  <cellStyles count="4">
    <cellStyle name="Hipervínculo" xfId="3" builtinId="8"/>
    <cellStyle name="Millares" xfId="2" builtinId="3"/>
    <cellStyle name="Moneda" xfId="1" builtinId="4"/>
    <cellStyle name="Normal" xfId="0" builtinId="0"/>
  </cellStyles>
  <dxfs count="26">
    <dxf>
      <fill>
        <patternFill patternType="none">
          <fgColor indexed="64"/>
          <bgColor indexed="65"/>
        </patternFill>
      </fill>
      <alignment textRotation="0" wrapText="1" justifyLastLine="0" shrinkToFit="0" readingOrder="0"/>
    </dxf>
    <dxf>
      <fill>
        <patternFill patternType="none">
          <fgColor indexed="64"/>
          <bgColor indexed="65"/>
        </patternFill>
      </fill>
      <alignment horizontal="left" textRotation="0" wrapText="0" indent="0" justifyLastLine="0" shrinkToFit="0" readingOrder="0"/>
      <border diagonalUp="0" diagonalDown="0" outline="0">
        <left style="thin">
          <color indexed="64"/>
        </left>
        <right/>
        <top/>
        <bottom/>
      </border>
    </dxf>
    <dxf>
      <fill>
        <patternFill patternType="none">
          <fgColor indexed="64"/>
          <bgColor indexed="65"/>
        </patternFill>
      </fill>
      <alignment horizontal="general" textRotation="0" wrapText="0" indent="0" justifyLastLine="0" shrinkToFit="0" readingOrder="0"/>
      <border diagonalUp="0" diagonalDown="0" outline="0">
        <left style="thin">
          <color auto="1"/>
        </left>
        <right style="thin">
          <color auto="1"/>
        </right>
        <top/>
        <bottom/>
      </border>
    </dxf>
    <dxf>
      <fill>
        <patternFill patternType="none">
          <fgColor indexed="64"/>
          <bgColor indexed="65"/>
        </patternFill>
      </fill>
      <alignment horizontal="center" vertical="center" textRotation="0" wrapText="0" indent="0" justifyLastLine="0" shrinkToFit="0" readingOrder="0"/>
      <border diagonalUp="0" diagonalDown="0">
        <left/>
        <right style="thin">
          <color auto="1"/>
        </right>
        <top/>
        <bottom/>
        <vertical/>
        <horizontal/>
      </border>
    </dxf>
    <dxf>
      <border outline="0">
        <left style="thick">
          <color auto="1"/>
        </left>
        <right style="thick">
          <color auto="1"/>
        </right>
        <top style="thick">
          <color auto="1"/>
        </top>
        <bottom style="thick">
          <color auto="1"/>
        </bottom>
      </border>
    </dxf>
    <dxf>
      <font>
        <b/>
        <i val="0"/>
        <strike val="0"/>
        <condense val="0"/>
        <extend val="0"/>
        <outline val="0"/>
        <shadow val="0"/>
        <u val="none"/>
        <vertAlign val="baseline"/>
        <sz val="12"/>
        <color theme="0"/>
        <name val="Calibri"/>
        <family val="2"/>
        <scheme val="minor"/>
      </font>
      <fill>
        <patternFill patternType="solid">
          <fgColor indexed="64"/>
          <bgColor theme="1"/>
        </patternFill>
      </fill>
      <alignment horizontal="center" vertical="center" textRotation="0" wrapText="0" indent="0" justifyLastLine="0" shrinkToFit="0" readingOrder="0"/>
      <border diagonalUp="0" diagonalDown="0" outline="0">
        <left style="thin">
          <color auto="1"/>
        </left>
        <right style="thin">
          <color auto="1"/>
        </right>
        <top/>
        <bottom/>
      </border>
    </dxf>
    <dxf>
      <numFmt numFmtId="165" formatCode="_ &quot;USD$/&quot;* #,##0.00_ ;_ &quot;S/&quot;* \-#,##0.00_ ;_ &quot;S/&quot;* &quot;-&quot;??_ ;_ @_ "/>
    </dxf>
    <dxf>
      <numFmt numFmtId="30" formatCode="@"/>
    </dxf>
    <dxf>
      <numFmt numFmtId="0" formatCode="General"/>
      <alignment horizontal="left" vertical="center" textRotation="0" wrapText="0" indent="0" justifyLastLine="0" shrinkToFit="0" readingOrder="0"/>
    </dxf>
    <dxf>
      <numFmt numFmtId="0" formatCode="General"/>
      <alignment horizontal="center" vertical="center" textRotation="0" indent="0" justifyLastLine="0" shrinkToFit="0" readingOrder="0"/>
    </dxf>
    <dxf>
      <numFmt numFmtId="1" formatCode="0"/>
      <alignment horizontal="center" vertical="center" textRotation="0" indent="0" justifyLastLine="0" shrinkToFit="0" readingOrder="0"/>
    </dxf>
    <dxf>
      <numFmt numFmtId="170" formatCode="dd/mm/yyyy;@"/>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numFmt numFmtId="170" formatCode="dd/mm/yyyy;@"/>
      <alignment horizontal="center" vertical="center" textRotation="0" indent="0" justifyLastLine="0" shrinkToFit="0" readingOrder="0"/>
    </dxf>
    <dxf>
      <numFmt numFmtId="1" formatCode="0"/>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numFmt numFmtId="173" formatCode="&quot;+1 &quot;#\ ?/?"/>
      <alignment horizontal="right" vertical="center" textRotation="0" wrapText="0" indent="0" justifyLastLine="0" shrinkToFit="0" readingOrder="0"/>
    </dxf>
    <dxf>
      <numFmt numFmtId="30" formatCode="@"/>
      <alignment horizontal="center" vertical="center" textRotation="0" wrapText="0" indent="0" justifyLastLine="0" shrinkToFit="1" readingOrder="0"/>
    </dxf>
    <dxf>
      <numFmt numFmtId="0" formatCode="General"/>
      <alignment horizontal="center" vertical="center" textRotation="0" indent="0" justifyLastLine="0" shrinkToFit="0" readingOrder="0"/>
    </dxf>
    <dxf>
      <numFmt numFmtId="0" formatCode="General"/>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ADADB3"/>
      <color rgb="FFA3A5BD"/>
      <color rgb="FF00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6.png"/><Relationship Id="rId5" Type="http://schemas.openxmlformats.org/officeDocument/2006/relationships/image" Target="../media/image5.png"/><Relationship Id="rId4" Type="http://schemas.microsoft.com/office/2007/relationships/hdphoto" Target="../media/hdphoto1.wdp"/></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5.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10.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oneCellAnchor>
    <xdr:from>
      <xdr:col>6</xdr:col>
      <xdr:colOff>714820</xdr:colOff>
      <xdr:row>6</xdr:row>
      <xdr:rowOff>112210</xdr:rowOff>
    </xdr:from>
    <xdr:ext cx="2094612" cy="593304"/>
    <xdr:sp macro="[0]!Registro_Clientes" textlink="">
      <xdr:nvSpPr>
        <xdr:cNvPr id="2" name="Rectángulo 1">
          <a:extLst>
            <a:ext uri="{FF2B5EF4-FFF2-40B4-BE49-F238E27FC236}">
              <a16:creationId xmlns:a16="http://schemas.microsoft.com/office/drawing/2014/main" id="{00000000-0008-0000-0000-000002000000}"/>
            </a:ext>
          </a:extLst>
        </xdr:cNvPr>
        <xdr:cNvSpPr/>
      </xdr:nvSpPr>
      <xdr:spPr>
        <a:xfrm>
          <a:off x="8210995" y="1445710"/>
          <a:ext cx="2094612" cy="593304"/>
        </a:xfrm>
        <a:prstGeom prst="rect">
          <a:avLst/>
        </a:prstGeom>
        <a:solidFill>
          <a:schemeClr val="tx1"/>
        </a:solidFill>
        <a:ln>
          <a:solidFill>
            <a:schemeClr val="bg1">
              <a:lumMod val="85000"/>
            </a:schemeClr>
          </a:solidFill>
        </a:ln>
        <a:effectLst>
          <a:glow rad="50800">
            <a:schemeClr val="tx1">
              <a:lumMod val="95000"/>
              <a:lumOff val="5000"/>
              <a:alpha val="60000"/>
            </a:schemeClr>
          </a:glow>
          <a:outerShdw blurRad="152400" dist="317500" dir="5400000" sx="90000" sy="-19000" rotWithShape="0">
            <a:prstClr val="black">
              <a:alpha val="15000"/>
            </a:prstClr>
          </a:outerShdw>
          <a:reflection blurRad="6350" stA="50000" endA="300" endPos="90000" dir="5400000" sy="-100000" algn="bl" rotWithShape="0"/>
        </a:effectLst>
        <a:scene3d>
          <a:camera prst="perspectiveRelaxedModerately"/>
          <a:lightRig rig="threePt" dir="t"/>
        </a:scene3d>
        <a:sp3d/>
      </xdr:spPr>
      <xdr:style>
        <a:lnRef idx="2">
          <a:schemeClr val="accent1"/>
        </a:lnRef>
        <a:fillRef idx="1">
          <a:schemeClr val="lt1"/>
        </a:fillRef>
        <a:effectRef idx="0">
          <a:schemeClr val="accent1"/>
        </a:effectRef>
        <a:fontRef idx="minor">
          <a:schemeClr val="dk1"/>
        </a:fontRef>
      </xdr:style>
      <xdr:txBody>
        <a:bodyPr wrap="none" lIns="91440" tIns="45720" rIns="91440" bIns="45720">
          <a:spAutoFit/>
        </a:bodyPr>
        <a:lstStyle/>
        <a:p>
          <a:pPr algn="ctr"/>
          <a:r>
            <a:rPr lang="es-ES" sz="3200" b="0" cap="none" spc="0">
              <a:ln w="0">
                <a:solidFill>
                  <a:srgbClr val="002060"/>
                </a:solidFill>
              </a:ln>
              <a:solidFill>
                <a:schemeClr val="bg1"/>
              </a:solidFill>
              <a:effectLst>
                <a:glow rad="127000">
                  <a:schemeClr val="tx1"/>
                </a:glow>
                <a:reflection blurRad="6350" stA="53000" endA="300" endPos="35500" dir="5400000" sy="-90000" algn="bl" rotWithShape="0"/>
              </a:effectLst>
            </a:rPr>
            <a:t>REGISTRAR</a:t>
          </a:r>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19</xdr:col>
      <xdr:colOff>634999</xdr:colOff>
      <xdr:row>8</xdr:row>
      <xdr:rowOff>63500</xdr:rowOff>
    </xdr:from>
    <xdr:to>
      <xdr:col>20</xdr:col>
      <xdr:colOff>235857</xdr:colOff>
      <xdr:row>11</xdr:row>
      <xdr:rowOff>98780</xdr:rowOff>
    </xdr:to>
    <xdr:pic>
      <xdr:nvPicPr>
        <xdr:cNvPr id="3" name="Imagen 2">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5092"/>
        <a:stretch/>
      </xdr:blipFill>
      <xdr:spPr>
        <a:xfrm>
          <a:off x="40915166" y="2307167"/>
          <a:ext cx="1397001" cy="638531"/>
        </a:xfrm>
        <a:prstGeom prst="rect">
          <a:avLst/>
        </a:prstGeom>
      </xdr:spPr>
    </xdr:pic>
    <xdr:clientData/>
  </xdr:twoCellAnchor>
  <xdr:twoCellAnchor>
    <xdr:from>
      <xdr:col>19</xdr:col>
      <xdr:colOff>31750</xdr:colOff>
      <xdr:row>12</xdr:row>
      <xdr:rowOff>179916</xdr:rowOff>
    </xdr:from>
    <xdr:to>
      <xdr:col>21</xdr:col>
      <xdr:colOff>0</xdr:colOff>
      <xdr:row>14</xdr:row>
      <xdr:rowOff>158750</xdr:rowOff>
    </xdr:to>
    <xdr:sp macro="[0]!Módulo1.EnviarMensajes" textlink="">
      <xdr:nvSpPr>
        <xdr:cNvPr id="4" name="Rectángulo: esquinas redondeadas 3">
          <a:extLst>
            <a:ext uri="{FF2B5EF4-FFF2-40B4-BE49-F238E27FC236}">
              <a16:creationId xmlns:a16="http://schemas.microsoft.com/office/drawing/2014/main" id="{00000000-0008-0000-0100-000004000000}"/>
            </a:ext>
          </a:extLst>
        </xdr:cNvPr>
        <xdr:cNvSpPr/>
      </xdr:nvSpPr>
      <xdr:spPr>
        <a:xfrm>
          <a:off x="40311917" y="3185583"/>
          <a:ext cx="2518833" cy="359834"/>
        </a:xfrm>
        <a:prstGeom prst="roundRect">
          <a:avLst>
            <a:gd name="adj" fmla="val 25490"/>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ctr"/>
          <a:r>
            <a:rPr lang="es-VE" sz="1200" b="1"/>
            <a:t>Enviar Mensaje</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161925</xdr:colOff>
          <xdr:row>30</xdr:row>
          <xdr:rowOff>9525</xdr:rowOff>
        </xdr:from>
        <xdr:to>
          <xdr:col>6</xdr:col>
          <xdr:colOff>809625</xdr:colOff>
          <xdr:row>32</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VE" sz="1200" b="1" i="0" u="none" strike="noStrike" baseline="0">
                  <a:solidFill>
                    <a:srgbClr val="000000"/>
                  </a:solidFill>
                  <a:latin typeface="Calibri"/>
                  <a:ea typeface="Calibri"/>
                  <a:cs typeface="Calibri"/>
                </a:rPr>
                <a:t>GUARDAR RV</a:t>
              </a:r>
            </a:p>
          </xdr:txBody>
        </xdr:sp>
        <xdr:clientData fPrintsWithSheet="0"/>
      </xdr:twoCellAnchor>
    </mc:Choice>
    <mc:Fallback/>
  </mc:AlternateContent>
  <xdr:twoCellAnchor editAs="oneCell">
    <xdr:from>
      <xdr:col>3</xdr:col>
      <xdr:colOff>2038029</xdr:colOff>
      <xdr:row>26</xdr:row>
      <xdr:rowOff>33032</xdr:rowOff>
    </xdr:from>
    <xdr:to>
      <xdr:col>5</xdr:col>
      <xdr:colOff>13921</xdr:colOff>
      <xdr:row>30</xdr:row>
      <xdr:rowOff>7428</xdr:rowOff>
    </xdr:to>
    <xdr:pic>
      <xdr:nvPicPr>
        <xdr:cNvPr id="3" name="Imagen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20880291">
          <a:off x="3215665" y="4639668"/>
          <a:ext cx="598731" cy="797010"/>
        </a:xfrm>
        <a:prstGeom prst="rect">
          <a:avLst/>
        </a:prstGeom>
      </xdr:spPr>
    </xdr:pic>
    <xdr:clientData/>
  </xdr:twoCellAnchor>
  <xdr:twoCellAnchor editAs="oneCell">
    <xdr:from>
      <xdr:col>3</xdr:col>
      <xdr:colOff>589528</xdr:colOff>
      <xdr:row>26</xdr:row>
      <xdr:rowOff>59783</xdr:rowOff>
    </xdr:from>
    <xdr:to>
      <xdr:col>4</xdr:col>
      <xdr:colOff>83294</xdr:colOff>
      <xdr:row>29</xdr:row>
      <xdr:rowOff>134773</xdr:rowOff>
    </xdr:to>
    <xdr:pic>
      <xdr:nvPicPr>
        <xdr:cNvPr id="6" name="Imagen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rot="245478">
          <a:off x="1846828" y="4603208"/>
          <a:ext cx="1484491" cy="74174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209550</xdr:colOff>
          <xdr:row>30</xdr:row>
          <xdr:rowOff>38100</xdr:rowOff>
        </xdr:from>
        <xdr:to>
          <xdr:col>3</xdr:col>
          <xdr:colOff>1685925</xdr:colOff>
          <xdr:row>32</xdr:row>
          <xdr:rowOff>114300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2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VE" sz="1200" b="1" i="0" u="none" strike="noStrike" baseline="0">
                  <a:solidFill>
                    <a:srgbClr val="000000"/>
                  </a:solidFill>
                  <a:latin typeface="Calibri"/>
                  <a:ea typeface="Calibri"/>
                  <a:cs typeface="Calibri"/>
                </a:rPr>
                <a:t>LIMPIAR RV</a:t>
              </a:r>
            </a:p>
          </xdr:txBody>
        </xdr:sp>
        <xdr:clientData fPrintsWithSheet="0"/>
      </xdr:twoCellAnchor>
    </mc:Choice>
    <mc:Fallback/>
  </mc:AlternateContent>
  <xdr:twoCellAnchor editAs="oneCell">
    <xdr:from>
      <xdr:col>1</xdr:col>
      <xdr:colOff>109163</xdr:colOff>
      <xdr:row>25</xdr:row>
      <xdr:rowOff>215916</xdr:rowOff>
    </xdr:from>
    <xdr:to>
      <xdr:col>3</xdr:col>
      <xdr:colOff>776154</xdr:colOff>
      <xdr:row>28</xdr:row>
      <xdr:rowOff>241390</xdr:rowOff>
    </xdr:to>
    <xdr:pic>
      <xdr:nvPicPr>
        <xdr:cNvPr id="9" name="Imagen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3" cstate="print">
          <a:biLevel thresh="50000"/>
          <a:alphaModFix amt="70000"/>
          <a:extLst>
            <a:ext uri="{BEBA8EAE-BF5A-486C-A8C5-ECC9F3942E4B}">
              <a14:imgProps xmlns:a14="http://schemas.microsoft.com/office/drawing/2010/main">
                <a14:imgLayer r:embed="rId4">
                  <a14:imgEffect>
                    <a14:saturation sat="400000"/>
                  </a14:imgEffect>
                </a14:imgLayer>
              </a14:imgProps>
            </a:ext>
            <a:ext uri="{28A0092B-C50C-407E-A947-70E740481C1C}">
              <a14:useLocalDpi xmlns:a14="http://schemas.microsoft.com/office/drawing/2010/main" val="0"/>
            </a:ext>
          </a:extLst>
        </a:blip>
        <a:stretch>
          <a:fillRect/>
        </a:stretch>
      </xdr:blipFill>
      <xdr:spPr>
        <a:xfrm rot="21105381">
          <a:off x="375863" y="4521216"/>
          <a:ext cx="1448041" cy="549349"/>
        </a:xfrm>
        <a:prstGeom prst="rect">
          <a:avLst/>
        </a:prstGeom>
      </xdr:spPr>
    </xdr:pic>
    <xdr:clientData/>
  </xdr:twoCellAnchor>
  <xdr:twoCellAnchor editAs="oneCell">
    <xdr:from>
      <xdr:col>3</xdr:col>
      <xdr:colOff>2076449</xdr:colOff>
      <xdr:row>1</xdr:row>
      <xdr:rowOff>35769</xdr:rowOff>
    </xdr:from>
    <xdr:to>
      <xdr:col>6</xdr:col>
      <xdr:colOff>755742</xdr:colOff>
      <xdr:row>5</xdr:row>
      <xdr:rowOff>20293</xdr:rowOff>
    </xdr:to>
    <xdr:pic>
      <xdr:nvPicPr>
        <xdr:cNvPr id="21" name="Imagen 20">
          <a:extLst>
            <a:ext uri="{FF2B5EF4-FFF2-40B4-BE49-F238E27FC236}">
              <a16:creationId xmlns:a16="http://schemas.microsoft.com/office/drawing/2014/main" id="{00000000-0008-0000-0200-000015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3333749" y="607269"/>
          <a:ext cx="2260693" cy="613174"/>
        </a:xfrm>
        <a:prstGeom prst="rect">
          <a:avLst/>
        </a:prstGeom>
      </xdr:spPr>
    </xdr:pic>
    <xdr:clientData/>
  </xdr:twoCellAnchor>
  <xdr:twoCellAnchor editAs="oneCell">
    <xdr:from>
      <xdr:col>2</xdr:col>
      <xdr:colOff>85725</xdr:colOff>
      <xdr:row>1</xdr:row>
      <xdr:rowOff>47625</xdr:rowOff>
    </xdr:from>
    <xdr:to>
      <xdr:col>4</xdr:col>
      <xdr:colOff>380842</xdr:colOff>
      <xdr:row>4</xdr:row>
      <xdr:rowOff>171450</xdr:rowOff>
    </xdr:to>
    <xdr:pic>
      <xdr:nvPicPr>
        <xdr:cNvPr id="7" name="Imagen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23875" y="619125"/>
          <a:ext cx="3009742" cy="5619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161925</xdr:colOff>
          <xdr:row>33</xdr:row>
          <xdr:rowOff>9525</xdr:rowOff>
        </xdr:from>
        <xdr:to>
          <xdr:col>6</xdr:col>
          <xdr:colOff>809625</xdr:colOff>
          <xdr:row>35</xdr:row>
          <xdr:rowOff>95250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VE" sz="1200" b="1" i="0" u="none" strike="noStrike" baseline="0">
                  <a:solidFill>
                    <a:srgbClr val="000000"/>
                  </a:solidFill>
                  <a:latin typeface="Calibri"/>
                  <a:ea typeface="Calibri"/>
                  <a:cs typeface="Calibri"/>
                </a:rPr>
                <a:t>GUARDAR RV</a:t>
              </a:r>
            </a:p>
          </xdr:txBody>
        </xdr:sp>
        <xdr:clientData fPrintsWithSheet="0"/>
      </xdr:twoCellAnchor>
    </mc:Choice>
    <mc:Fallback/>
  </mc:AlternateContent>
  <xdr:twoCellAnchor editAs="oneCell">
    <xdr:from>
      <xdr:col>3</xdr:col>
      <xdr:colOff>1595050</xdr:colOff>
      <xdr:row>28</xdr:row>
      <xdr:rowOff>39740</xdr:rowOff>
    </xdr:from>
    <xdr:to>
      <xdr:col>4</xdr:col>
      <xdr:colOff>434632</xdr:colOff>
      <xdr:row>33</xdr:row>
      <xdr:rowOff>14806</xdr:rowOff>
    </xdr:to>
    <xdr:pic>
      <xdr:nvPicPr>
        <xdr:cNvPr id="3" name="Imagen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20880291">
          <a:off x="2654874" y="4346113"/>
          <a:ext cx="764705" cy="8269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209550</xdr:colOff>
          <xdr:row>33</xdr:row>
          <xdr:rowOff>38100</xdr:rowOff>
        </xdr:from>
        <xdr:to>
          <xdr:col>3</xdr:col>
          <xdr:colOff>1685925</xdr:colOff>
          <xdr:row>35</xdr:row>
          <xdr:rowOff>114300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VE" sz="1200" b="1" i="0" u="none" strike="noStrike" baseline="0">
                  <a:solidFill>
                    <a:srgbClr val="000000"/>
                  </a:solidFill>
                  <a:latin typeface="Calibri"/>
                  <a:ea typeface="Calibri"/>
                  <a:cs typeface="Calibri"/>
                </a:rPr>
                <a:t>LIMPIAR RV</a:t>
              </a:r>
            </a:p>
          </xdr:txBody>
        </xdr:sp>
        <xdr:clientData fPrintsWithSheet="0"/>
      </xdr:twoCellAnchor>
    </mc:Choice>
    <mc:Fallback/>
  </mc:AlternateContent>
  <xdr:twoCellAnchor editAs="oneCell">
    <xdr:from>
      <xdr:col>3</xdr:col>
      <xdr:colOff>2076449</xdr:colOff>
      <xdr:row>4</xdr:row>
      <xdr:rowOff>35769</xdr:rowOff>
    </xdr:from>
    <xdr:to>
      <xdr:col>7</xdr:col>
      <xdr:colOff>16011</xdr:colOff>
      <xdr:row>7</xdr:row>
      <xdr:rowOff>77443</xdr:rowOff>
    </xdr:to>
    <xdr:pic>
      <xdr:nvPicPr>
        <xdr:cNvPr id="9" name="Imagen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209924" y="607269"/>
          <a:ext cx="2260693" cy="613174"/>
        </a:xfrm>
        <a:prstGeom prst="rect">
          <a:avLst/>
        </a:prstGeom>
      </xdr:spPr>
    </xdr:pic>
    <xdr:clientData/>
  </xdr:twoCellAnchor>
  <xdr:twoCellAnchor editAs="oneCell">
    <xdr:from>
      <xdr:col>2</xdr:col>
      <xdr:colOff>85725</xdr:colOff>
      <xdr:row>4</xdr:row>
      <xdr:rowOff>47625</xdr:rowOff>
    </xdr:from>
    <xdr:to>
      <xdr:col>4</xdr:col>
      <xdr:colOff>492459</xdr:colOff>
      <xdr:row>7</xdr:row>
      <xdr:rowOff>38100</xdr:rowOff>
    </xdr:to>
    <xdr:pic>
      <xdr:nvPicPr>
        <xdr:cNvPr id="11" name="Imagen 10">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619125"/>
          <a:ext cx="2981167" cy="5619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73917</xdr:colOff>
      <xdr:row>41</xdr:row>
      <xdr:rowOff>120831</xdr:rowOff>
    </xdr:from>
    <xdr:to>
      <xdr:col>4</xdr:col>
      <xdr:colOff>504159</xdr:colOff>
      <xdr:row>47</xdr:row>
      <xdr:rowOff>27490</xdr:rowOff>
    </xdr:to>
    <xdr:pic>
      <xdr:nvPicPr>
        <xdr:cNvPr id="3" name="Imagen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20296799">
          <a:off x="840930" y="7028963"/>
          <a:ext cx="896466" cy="954409"/>
        </a:xfrm>
        <a:prstGeom prst="rect">
          <a:avLst/>
        </a:prstGeom>
      </xdr:spPr>
    </xdr:pic>
    <xdr:clientData/>
  </xdr:twoCellAnchor>
  <xdr:twoCellAnchor editAs="oneCell">
    <xdr:from>
      <xdr:col>2</xdr:col>
      <xdr:colOff>68035</xdr:colOff>
      <xdr:row>1</xdr:row>
      <xdr:rowOff>34018</xdr:rowOff>
    </xdr:from>
    <xdr:to>
      <xdr:col>4</xdr:col>
      <xdr:colOff>102053</xdr:colOff>
      <xdr:row>5</xdr:row>
      <xdr:rowOff>174341</xdr:rowOff>
    </xdr:to>
    <xdr:pic>
      <xdr:nvPicPr>
        <xdr:cNvPr id="6" name="Imagen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8214" y="221116"/>
          <a:ext cx="918482" cy="574051"/>
        </a:xfrm>
        <a:prstGeom prst="rect">
          <a:avLst/>
        </a:prstGeom>
      </xdr:spPr>
    </xdr:pic>
    <xdr:clientData/>
  </xdr:twoCellAnchor>
  <xdr:twoCellAnchor editAs="oneCell">
    <xdr:from>
      <xdr:col>2</xdr:col>
      <xdr:colOff>47946</xdr:colOff>
      <xdr:row>47</xdr:row>
      <xdr:rowOff>25513</xdr:rowOff>
    </xdr:from>
    <xdr:to>
      <xdr:col>5</xdr:col>
      <xdr:colOff>187099</xdr:colOff>
      <xdr:row>47</xdr:row>
      <xdr:rowOff>346702</xdr:rowOff>
    </xdr:to>
    <xdr:pic>
      <xdr:nvPicPr>
        <xdr:cNvPr id="8" name="Imagen 7">
          <a:extLst>
            <a:ext uri="{FF2B5EF4-FFF2-40B4-BE49-F238E27FC236}">
              <a16:creationId xmlns:a16="http://schemas.microsoft.com/office/drawing/2014/main" id="{00000000-0008-0000-0500-000008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t="38984" b="34785"/>
        <a:stretch/>
      </xdr:blipFill>
      <xdr:spPr>
        <a:xfrm>
          <a:off x="388125" y="7900647"/>
          <a:ext cx="1959108" cy="321189"/>
        </a:xfrm>
        <a:prstGeom prst="rect">
          <a:avLst/>
        </a:prstGeom>
      </xdr:spPr>
    </xdr:pic>
    <xdr:clientData/>
  </xdr:twoCellAnchor>
  <xdr:twoCellAnchor>
    <xdr:from>
      <xdr:col>1</xdr:col>
      <xdr:colOff>40106</xdr:colOff>
      <xdr:row>14</xdr:row>
      <xdr:rowOff>502</xdr:rowOff>
    </xdr:from>
    <xdr:to>
      <xdr:col>8</xdr:col>
      <xdr:colOff>972553</xdr:colOff>
      <xdr:row>38</xdr:row>
      <xdr:rowOff>100264</xdr:rowOff>
    </xdr:to>
    <xdr:sp macro="" textlink="">
      <xdr:nvSpPr>
        <xdr:cNvPr id="2" name="CuadroTexto 1">
          <a:extLst>
            <a:ext uri="{FF2B5EF4-FFF2-40B4-BE49-F238E27FC236}">
              <a16:creationId xmlns:a16="http://schemas.microsoft.com/office/drawing/2014/main" id="{00000000-0008-0000-0500-000002000000}"/>
            </a:ext>
          </a:extLst>
        </xdr:cNvPr>
        <xdr:cNvSpPr txBox="1"/>
      </xdr:nvSpPr>
      <xdr:spPr>
        <a:xfrm>
          <a:off x="145382" y="1830305"/>
          <a:ext cx="5534526" cy="44060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VE" sz="1050" b="1"/>
            <a:t>ELECTRICITY SUPPLY SERVICE CONTRACT</a:t>
          </a:r>
        </a:p>
        <a:p>
          <a:r>
            <a:rPr lang="es-VE" sz="900" b="1"/>
            <a:t>1. Purpose of the Contract</a:t>
          </a:r>
        </a:p>
        <a:p>
          <a:r>
            <a:rPr lang="es-VE" sz="600"/>
            <a:t>Synergy Light agrees to supply electricity to the Customer at the property located at the above address, under the terms and conditions set forth in this contract.</a:t>
          </a:r>
        </a:p>
        <a:p>
          <a:endParaRPr lang="es-VE" sz="600"/>
        </a:p>
        <a:p>
          <a:r>
            <a:rPr lang="es-VE" sz="900" b="1"/>
            <a:t>2. Fixed Rate Plan</a:t>
          </a:r>
        </a:p>
        <a:p>
          <a:r>
            <a:rPr lang="es-VE" sz="600"/>
            <a:t>The Customer agrees to subscribe to Synergy Light's Fixed Rate Plan, which consists of the following:</a:t>
          </a:r>
        </a:p>
        <a:p>
          <a:r>
            <a:rPr lang="es-VE" sz="600"/>
            <a:t>Fixed monthly payment for the electricity rate, regardless of consumption in kilowatt-hours (kWh).</a:t>
          </a:r>
        </a:p>
        <a:p>
          <a:r>
            <a:rPr lang="es-VE" sz="600"/>
            <a:t>The fixed rate will be set at the start of the contract and will be $[amount] per month, with a 30% discount compared to the standard rate, applicable only during the limited promotion period.</a:t>
          </a:r>
        </a:p>
        <a:p>
          <a:endParaRPr lang="es-VE" sz="600"/>
        </a:p>
        <a:p>
          <a:r>
            <a:rPr lang="es-VE" sz="900" b="1"/>
            <a:t>3. Plan Benefits</a:t>
          </a:r>
        </a:p>
        <a:p>
          <a:r>
            <a:rPr lang="es-VE" sz="600"/>
            <a:t>Stable prices and no surprises: The Customer will pay the same rate each month, regardless of usage.</a:t>
          </a:r>
        </a:p>
        <a:p>
          <a:r>
            <a:rPr lang="es-VE" sz="600"/>
            <a:t>Simplicity: No need to measure or calculate kWh usage.</a:t>
          </a:r>
        </a:p>
        <a:p>
          <a:r>
            <a:rPr lang="es-VE" sz="600"/>
            <a:t>Flexibility: Suitable for houses, apartments, and residential trailers.</a:t>
          </a:r>
        </a:p>
        <a:p>
          <a:endParaRPr lang="es-VE" sz="600"/>
        </a:p>
        <a:p>
          <a:r>
            <a:rPr lang="es-VE" sz="900" b="1"/>
            <a:t>4. Term and Promotional Offer</a:t>
          </a:r>
        </a:p>
        <a:p>
          <a:r>
            <a:rPr lang="es-VE" sz="600"/>
            <a:t>This promotional offer of 30% discount will be valid from the signing of the contract until [end date or specific condition, e.g., "while supplies last"].</a:t>
          </a:r>
        </a:p>
        <a:p>
          <a:r>
            <a:rPr lang="es-VE" sz="600"/>
            <a:t>The contract will have an initial term of [period, for example, 12 months], automatically renewable unless either party notifies its intention to terminate it with [notice period].</a:t>
          </a:r>
        </a:p>
        <a:p>
          <a:endParaRPr lang="es-VE" sz="600"/>
        </a:p>
        <a:p>
          <a:r>
            <a:rPr lang="es-VE" sz="900" b="1"/>
            <a:t>5. Rules and Conditions</a:t>
          </a:r>
        </a:p>
        <a:p>
          <a:r>
            <a:rPr lang="es-VE" sz="600"/>
            <a:t>The Customer must pay each monthly payment punctually on the agreed date.</a:t>
          </a:r>
        </a:p>
        <a:p>
          <a:r>
            <a:rPr lang="es-VE" sz="600"/>
            <a:t>In the event of non-compliance, Synergy Light may suspend the energy supply after prior notice and apply the penalties provided by law.</a:t>
          </a:r>
        </a:p>
        <a:p>
          <a:endParaRPr lang="es-VE" sz="600"/>
        </a:p>
        <a:p>
          <a:r>
            <a:rPr lang="es-VE" sz="900" b="1"/>
            <a:t>6. Refund Policy</a:t>
          </a:r>
        </a:p>
        <a:p>
          <a:r>
            <a:rPr lang="es-VE" sz="600"/>
            <a:t>Refunds for errors or improper charges: If the Customer detects an incorrect charge, they must notify Synergy Light within a reasonable period of time, for example, 15 days from the date of the charge in question.</a:t>
          </a:r>
        </a:p>
        <a:p>
          <a:r>
            <a:rPr lang="es-VE" sz="600"/>
            <a:t>Procedure: The Customer must submit a formal written complaint via [email or form], specifying the details of the erroneous charge.</a:t>
          </a:r>
        </a:p>
        <a:p>
          <a:r>
            <a:rPr lang="es-VE" sz="600"/>
            <a:t>Evaluation: Synergy Light will review the complaint and, if an error is found, will issue the corresponding refund within a period of no more than [for example, 30 days].</a:t>
          </a:r>
        </a:p>
        <a:p>
          <a:r>
            <a:rPr lang="es-VE" sz="600"/>
            <a:t>No Refunds in Other Cases: No refunds will be made for payments made in good faith under the contract, or for changes of mind within 12 hours of payment, except in cases of proven error on the part of the company. Sinergy Light may deduct up to 10% of the refund payment for administrative expenses if warranted.</a:t>
          </a:r>
        </a:p>
        <a:p>
          <a:endParaRPr lang="es-VE" sz="600"/>
        </a:p>
        <a:p>
          <a:r>
            <a:rPr lang="es-VE" sz="900" b="1"/>
            <a:t>7. Limitations and Conditions</a:t>
          </a:r>
        </a:p>
        <a:p>
          <a:r>
            <a:rPr lang="es-VE" sz="600"/>
            <a:t>The 30% promotional rate applies only to current residential programs.</a:t>
          </a:r>
        </a:p>
        <a:p>
          <a:r>
            <a:rPr lang="es-VE" sz="600"/>
            <a:t>Charges for special connections, additional services, or damages due to improper use are not included.</a:t>
          </a:r>
        </a:p>
        <a:p>
          <a:r>
            <a:rPr lang="es-VE" sz="600"/>
            <a:t>8. Termination</a:t>
          </a:r>
        </a:p>
        <a:p>
          <a:r>
            <a:rPr lang="es-VE" sz="600"/>
            <a:t>This contract may be terminated by mutual agreement, breach by either party, or expiration of the initial term, upon [number of days] prior written notice.</a:t>
          </a:r>
        </a:p>
        <a:p>
          <a:endParaRPr lang="es-VE" sz="600"/>
        </a:p>
        <a:p>
          <a:r>
            <a:rPr lang="es-VE" sz="900" b="1"/>
            <a:t>9. Other Terms and Conditions</a:t>
          </a:r>
        </a:p>
        <a:p>
          <a:r>
            <a:rPr lang="es-VE" sz="600"/>
            <a:t>The parties agree to comply with applicable legal provisions, and that any dispute will be resolved i</a:t>
          </a:r>
          <a:r>
            <a:rPr lang="es-VE" sz="700"/>
            <a:t>n the courts of [territorial organization]</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73917</xdr:colOff>
      <xdr:row>36</xdr:row>
      <xdr:rowOff>0</xdr:rowOff>
    </xdr:from>
    <xdr:to>
      <xdr:col>4</xdr:col>
      <xdr:colOff>504159</xdr:colOff>
      <xdr:row>40</xdr:row>
      <xdr:rowOff>128029</xdr:rowOff>
    </xdr:to>
    <xdr:pic>
      <xdr:nvPicPr>
        <xdr:cNvPr id="2" name="Imagen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20296799">
          <a:off x="835917" y="6835956"/>
          <a:ext cx="896967" cy="954409"/>
        </a:xfrm>
        <a:prstGeom prst="rect">
          <a:avLst/>
        </a:prstGeom>
      </xdr:spPr>
    </xdr:pic>
    <xdr:clientData/>
  </xdr:twoCellAnchor>
  <xdr:twoCellAnchor editAs="oneCell">
    <xdr:from>
      <xdr:col>2</xdr:col>
      <xdr:colOff>68035</xdr:colOff>
      <xdr:row>0</xdr:row>
      <xdr:rowOff>180975</xdr:rowOff>
    </xdr:from>
    <xdr:to>
      <xdr:col>4</xdr:col>
      <xdr:colOff>102053</xdr:colOff>
      <xdr:row>6</xdr:row>
      <xdr:rowOff>47625</xdr:rowOff>
    </xdr:to>
    <xdr:pic>
      <xdr:nvPicPr>
        <xdr:cNvPr id="3" name="Imagen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10935" y="180975"/>
          <a:ext cx="919843" cy="676275"/>
        </a:xfrm>
        <a:prstGeom prst="rect">
          <a:avLst/>
        </a:prstGeom>
      </xdr:spPr>
    </xdr:pic>
    <xdr:clientData/>
  </xdr:twoCellAnchor>
  <xdr:twoCellAnchor editAs="oneCell">
    <xdr:from>
      <xdr:col>4</xdr:col>
      <xdr:colOff>701895</xdr:colOff>
      <xdr:row>42</xdr:row>
      <xdr:rowOff>66347</xdr:rowOff>
    </xdr:from>
    <xdr:to>
      <xdr:col>7</xdr:col>
      <xdr:colOff>372242</xdr:colOff>
      <xdr:row>44</xdr:row>
      <xdr:rowOff>22884</xdr:rowOff>
    </xdr:to>
    <xdr:pic>
      <xdr:nvPicPr>
        <xdr:cNvPr id="4" name="Imagen 3">
          <a:extLst>
            <a:ext uri="{FF2B5EF4-FFF2-40B4-BE49-F238E27FC236}">
              <a16:creationId xmlns:a16="http://schemas.microsoft.com/office/drawing/2014/main" id="{00000000-0008-0000-0600-000004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t="38984" b="34785"/>
        <a:stretch/>
      </xdr:blipFill>
      <xdr:spPr>
        <a:xfrm>
          <a:off x="2004740" y="8441778"/>
          <a:ext cx="2374571" cy="32877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E:\alexander\arte\Yazmin%20LUZ\documentos%20de%20ventas%20YAZMIN\referencias\numletras.xlam" TargetMode="External"/><Relationship Id="rId1" Type="http://schemas.openxmlformats.org/officeDocument/2006/relationships/externalLinkPath" Target="referencias/numletras.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ja1"/>
      <sheetName val="Hoja2"/>
      <sheetName val="Hoja3"/>
      <sheetName val="numletras"/>
    </sheetNames>
    <definedNames>
      <definedName name="NumLetras"/>
    </definedNames>
    <sheetDataSet>
      <sheetData sheetId="0"/>
      <sheetData sheetId="1"/>
      <sheetData sheetId="2"/>
      <sheetData sheetId="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76FB922-C21B-480D-AD0F-22DDC12A5A9F}" name="TCLIENTES2" displayName="TCLIENTES2" ref="B2:O55" totalsRowShown="0" headerRowDxfId="23" dataDxfId="22">
  <autoFilter ref="B2:O55" xr:uid="{576FB922-C21B-480D-AD0F-22DDC12A5A9F}"/>
  <tableColumns count="14">
    <tableColumn id="1" xr3:uid="{16CB31BD-33CF-4AB7-80D4-3107265E0D11}" name="ID-CLIENTE" dataDxfId="21"/>
    <tableColumn id="2" xr3:uid="{971AB8E8-CD36-4095-8967-9BF5BFEC66C8}" name="NOMBRE Y APELLIDO" dataDxfId="20"/>
    <tableColumn id="3" xr3:uid="{C4642B83-0C98-40AF-B1C4-EBF6A31E229A}" name="DIRECCION" dataDxfId="19"/>
    <tableColumn id="4" xr3:uid="{1CB416CA-2CDD-404C-A3A9-88548CB0D51A}" name="TELEFONO" dataDxfId="18"/>
    <tableColumn id="5" xr3:uid="{645ADE97-5976-4B78-94BE-ABB1FA276D45}" name="CORREO" dataDxfId="17"/>
    <tableColumn id="14" xr3:uid="{EE0A4044-B8EB-4239-9382-C0F58DC726C4}" name="CONTRATO" dataDxfId="16" dataCellStyle="Hipervínculo"/>
    <tableColumn id="6" xr3:uid="{F5B2DFDE-77CC-4F71-9B4A-4FF7F7912367}" name="SSID" dataDxfId="15"/>
    <tableColumn id="7" xr3:uid="{03C4C04F-7C6B-461C-A0FB-847866235329}" name="FECHA DE INICIO" dataDxfId="14"/>
    <tableColumn id="8" xr3:uid="{019B7F70-5730-4579-9707-7EF99CE34B81}" name="AJENTE DE VENTAS" dataDxfId="13"/>
    <tableColumn id="9" xr3:uid="{7F60BCD0-3B55-47D7-825B-94CC353B387D}" name="METODO DE PAGO" dataDxfId="12"/>
    <tableColumn id="10" xr3:uid="{F42FC168-4A5E-49F0-8D9C-3D628080DF6D}" name="FECHA DE CORTE" dataDxfId="11">
      <calculatedColumnFormula>I3+30</calculatedColumnFormula>
    </tableColumn>
    <tableColumn id="11" xr3:uid="{BDDAECD5-0909-454E-B4B9-D11357615AB0}" name="0" dataDxfId="10">
      <calculatedColumnFormula>L3-$R$8</calculatedColumnFormula>
    </tableColumn>
    <tableColumn id="12" xr3:uid="{975455E0-8D89-4BF1-B525-3AA00CC58A55}" name="STATUS" dataDxfId="9">
      <calculatedColumnFormula>IF(M3&lt;=0,$Q$13,IF(M3&lt;=$R$9,$Q$12,$Q$11))</calculatedColumnFormula>
    </tableColumn>
    <tableColumn id="13" xr3:uid="{1E5F955C-98DE-45BD-8E60-151A3109FFE1}" name="MENSAJERIA" dataDxfId="8">
      <calculatedColumnFormula>"Hola "&amp;C3&amp;", Recuerda renovar tú contrato de 30 Días de conexión de Luz Electrica con MORE ENERGY."&amp;"%0A%0A"&amp;"Cuya Fecha de corte es el día: "&amp;TEXT(L3,"dd/mm/yyyy")</calculatedColumnFormula>
    </tableColumn>
  </tableColumns>
  <tableStyleInfo name="TableStyleMedium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PRODUCTOS" displayName="TPRODUCTOS" ref="A2:C25" totalsRowShown="0">
  <autoFilter ref="A2:C25" xr:uid="{00000000-0009-0000-0100-000002000000}"/>
  <tableColumns count="3">
    <tableColumn id="1" xr3:uid="{00000000-0010-0000-0100-000001000000}" name="CODIGO" dataDxfId="7"/>
    <tableColumn id="2" xr3:uid="{00000000-0010-0000-0100-000002000000}" name="DESCRIPCION"/>
    <tableColumn id="3" xr3:uid="{00000000-0010-0000-0100-000003000000}" name="P.UNIT" dataDxfId="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1A50194-759B-4897-8F3F-477AC84AE075}" name="Tabla3" displayName="Tabla3" ref="B3:E340" totalsRowShown="0" headerRowDxfId="5" tableBorderDxfId="4">
  <autoFilter ref="B3:E340" xr:uid="{91A50194-759B-4897-8F3F-477AC84AE075}"/>
  <tableColumns count="4">
    <tableColumn id="1" xr3:uid="{7BFEAB74-D65B-49A4-A85C-97BE713656D5}" name="NRO" dataDxfId="3"/>
    <tableColumn id="2" xr3:uid="{A3CB3E71-67C3-4B07-BFB4-9D94AFB3A1E1}" name="NOMBRE DEL CLIENTE" dataDxfId="2"/>
    <tableColumn id="3" xr3:uid="{1BCC12D5-351E-4097-BBF4-8F42BEF71CE2}" name="NUMERO TELEFONICO" dataDxfId="1"/>
    <tableColumn id="4" xr3:uid="{3ED94225-C9C7-46A6-9A09-989D9FA77125}" name="CONTACTADO" dataDxfId="0"/>
  </tableColumns>
  <tableStyleInfo name="TableStyleMedium2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1">
    <wetp:webextensionref xmlns:r="http://schemas.openxmlformats.org/officeDocument/2006/relationships" r:id="rId1"/>
  </wetp:taskpane>
</wetp:taskpanes>
</file>

<file path=xl/webextensions/webextension1.xml><?xml version="1.0" encoding="utf-8"?>
<we:webextension xmlns:we="http://schemas.microsoft.com/office/webextensions/webextension/2010/11" id="{89206173-E47D-4BA5-8F88-971BA131180D}">
  <we:reference id="wa104381026" version="1.2.0.0" store="es-ES" storeType="OMEX"/>
  <we:alternateReferences>
    <we:reference id="wa104381026" version="1.2.0.0" store="wa104381026" storeType="OMEX"/>
  </we:alternateReferences>
  <we:properties>
    <we:property name="insertIntoSheet" value="&quot;FACTURA&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mailto:rosalvarios553@mail.com" TargetMode="External"/><Relationship Id="rId13" Type="http://schemas.openxmlformats.org/officeDocument/2006/relationships/printerSettings" Target="../printerSettings/printerSettings2.bin"/><Relationship Id="rId3" Type="http://schemas.openxmlformats.org/officeDocument/2006/relationships/hyperlink" Target="mailto:luisjosemartinez237@gmail.com" TargetMode="External"/><Relationship Id="rId7" Type="http://schemas.openxmlformats.org/officeDocument/2006/relationships/hyperlink" Target="mailto:Hruby_1891@icloud.com" TargetMode="External"/><Relationship Id="rId12" Type="http://schemas.openxmlformats.org/officeDocument/2006/relationships/hyperlink" Target="mailto:cecyflores7272@gmail.com" TargetMode="External"/><Relationship Id="rId2" Type="http://schemas.openxmlformats.org/officeDocument/2006/relationships/hyperlink" Target="mailto:arielydenisse@gmail.com" TargetMode="External"/><Relationship Id="rId1" Type="http://schemas.openxmlformats.org/officeDocument/2006/relationships/hyperlink" Target="mailto:irisrosarodriguez35@gmail.com" TargetMode="External"/><Relationship Id="rId6" Type="http://schemas.openxmlformats.org/officeDocument/2006/relationships/hyperlink" Target="mailto:castillodolores94@gmail.com" TargetMode="External"/><Relationship Id="rId11" Type="http://schemas.openxmlformats.org/officeDocument/2006/relationships/hyperlink" Target="mailto:Joannachavez242@gmail.com" TargetMode="External"/><Relationship Id="rId5" Type="http://schemas.openxmlformats.org/officeDocument/2006/relationships/hyperlink" Target="mailto:Sarahirodriguez0424@gmail.com" TargetMode="External"/><Relationship Id="rId15" Type="http://schemas.openxmlformats.org/officeDocument/2006/relationships/table" Target="../tables/table1.xml"/><Relationship Id="rId10" Type="http://schemas.openxmlformats.org/officeDocument/2006/relationships/hyperlink" Target="mailto:fh330977@gmail.com" TargetMode="External"/><Relationship Id="rId4" Type="http://schemas.openxmlformats.org/officeDocument/2006/relationships/hyperlink" Target="mailto:vic1966alvarado@gmail.com" TargetMode="External"/><Relationship Id="rId9" Type="http://schemas.openxmlformats.org/officeDocument/2006/relationships/hyperlink" Target="mailto:jenigarza79@gmail.com" TargetMode="External"/><Relationship Id="rId1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www.synergylinght.com/"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s://www.synergylinght.com/" TargetMode="Externa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s://synergylinght.com/" TargetMode="Externa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hyperlink" Target="https://synergylinght.com/" TargetMode="Externa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980EF6-4FA9-4CBA-9F51-CD614D65C531}">
  <sheetPr codeName="Hoja2"/>
  <dimension ref="B1:R29"/>
  <sheetViews>
    <sheetView showGridLines="0" tabSelected="1" zoomScale="90" zoomScaleNormal="90" workbookViewId="0">
      <selection activeCell="E27" sqref="E27"/>
    </sheetView>
  </sheetViews>
  <sheetFormatPr baseColWidth="10" defaultColWidth="11.42578125" defaultRowHeight="15.75" x14ac:dyDescent="0.25"/>
  <cols>
    <col min="2" max="2" width="5.28515625" customWidth="1"/>
    <col min="3" max="3" width="25.7109375" style="30" customWidth="1"/>
    <col min="4" max="4" width="4.28515625" customWidth="1"/>
    <col min="5" max="5" width="61.28515625" customWidth="1"/>
    <col min="6" max="6" width="4.42578125" customWidth="1"/>
    <col min="8" max="8" width="30.5703125" customWidth="1"/>
    <col min="10" max="10" width="4.5703125" customWidth="1"/>
    <col min="11" max="11" width="11.42578125" customWidth="1"/>
  </cols>
  <sheetData>
    <row r="1" spans="2:18" ht="16.5" thickBot="1" x14ac:dyDescent="0.3"/>
    <row r="2" spans="2:18" ht="22.5" thickTop="1" thickBot="1" x14ac:dyDescent="0.3">
      <c r="B2" s="23"/>
      <c r="C2" s="31"/>
      <c r="D2" s="24"/>
      <c r="E2" s="24"/>
      <c r="F2" s="25"/>
      <c r="H2" s="29" t="s">
        <v>33</v>
      </c>
      <c r="L2" s="185" t="s">
        <v>384</v>
      </c>
      <c r="M2" s="186" t="s">
        <v>385</v>
      </c>
      <c r="N2" s="186" t="s">
        <v>386</v>
      </c>
      <c r="O2" s="186" t="s">
        <v>387</v>
      </c>
      <c r="P2" s="186" t="s">
        <v>388</v>
      </c>
      <c r="Q2" s="186" t="s">
        <v>389</v>
      </c>
      <c r="R2" s="187" t="s">
        <v>390</v>
      </c>
    </row>
    <row r="3" spans="2:18" ht="23.25" customHeight="1" thickTop="1" thickBot="1" x14ac:dyDescent="0.3">
      <c r="B3" s="26"/>
      <c r="C3" s="202" t="s">
        <v>30</v>
      </c>
      <c r="D3" s="202"/>
      <c r="E3" s="202"/>
      <c r="F3" s="27"/>
      <c r="H3" s="130">
        <f ca="1">TODAY()</f>
        <v>46193</v>
      </c>
      <c r="L3" s="176"/>
      <c r="M3" s="177"/>
      <c r="N3" s="177"/>
      <c r="O3" s="177"/>
      <c r="P3" s="177"/>
      <c r="Q3" s="177"/>
      <c r="R3" s="178"/>
    </row>
    <row r="4" spans="2:18" ht="21.75" thickBot="1" x14ac:dyDescent="0.3">
      <c r="B4" s="26"/>
      <c r="C4" s="32"/>
      <c r="D4" s="28"/>
      <c r="E4" s="28"/>
      <c r="F4" s="27"/>
      <c r="H4" s="130" t="s">
        <v>459</v>
      </c>
      <c r="L4" s="179"/>
      <c r="M4" s="180"/>
      <c r="N4" s="180"/>
      <c r="O4" s="180"/>
      <c r="P4" s="180"/>
      <c r="Q4" s="180"/>
      <c r="R4" s="181"/>
    </row>
    <row r="5" spans="2:18" x14ac:dyDescent="0.25">
      <c r="B5" s="26"/>
      <c r="C5" s="33" t="s">
        <v>36</v>
      </c>
      <c r="D5" s="28"/>
      <c r="E5" s="194" t="e">
        <f>UPPER(CONCATENATE(LEFT(E7,1),MID(E7,SEARCH(" ",E7,1)+1,2),"X","-","E","010-","2"))</f>
        <v>#VALUE!</v>
      </c>
      <c r="F5" s="27"/>
      <c r="L5" s="179"/>
      <c r="M5" s="180"/>
      <c r="N5" s="180"/>
      <c r="O5" s="180"/>
      <c r="P5" s="180"/>
      <c r="Q5" s="180"/>
      <c r="R5" s="181"/>
    </row>
    <row r="6" spans="2:18" x14ac:dyDescent="0.25">
      <c r="B6" s="26"/>
      <c r="C6" s="32"/>
      <c r="D6" s="28"/>
      <c r="E6" s="28"/>
      <c r="F6" s="27"/>
      <c r="L6" s="179"/>
      <c r="M6" s="180"/>
      <c r="N6" s="180"/>
      <c r="O6" s="180"/>
      <c r="P6" s="180"/>
      <c r="Q6" s="180"/>
      <c r="R6" s="181"/>
    </row>
    <row r="7" spans="2:18" x14ac:dyDescent="0.25">
      <c r="B7" s="26"/>
      <c r="C7" s="33" t="s">
        <v>31</v>
      </c>
      <c r="D7" s="28"/>
      <c r="F7" s="27"/>
      <c r="L7" s="179"/>
      <c r="M7" s="180"/>
      <c r="N7" s="180"/>
      <c r="O7" s="180"/>
      <c r="P7" s="180"/>
      <c r="Q7" s="180"/>
      <c r="R7" s="181"/>
    </row>
    <row r="8" spans="2:18" ht="16.5" thickBot="1" x14ac:dyDescent="0.3">
      <c r="B8" s="26"/>
      <c r="C8" s="32"/>
      <c r="D8" s="28"/>
      <c r="E8" s="192"/>
      <c r="F8" s="27"/>
      <c r="L8" s="182"/>
      <c r="M8" s="183"/>
      <c r="N8" s="183"/>
      <c r="O8" s="183"/>
      <c r="P8" s="183"/>
      <c r="Q8" s="183"/>
      <c r="R8" s="184"/>
    </row>
    <row r="9" spans="2:18" ht="16.5" thickTop="1" x14ac:dyDescent="0.25">
      <c r="B9" s="26"/>
      <c r="C9" s="33" t="s">
        <v>41</v>
      </c>
      <c r="D9" s="28"/>
      <c r="E9" s="193"/>
      <c r="F9" s="27"/>
    </row>
    <row r="10" spans="2:18" x14ac:dyDescent="0.25">
      <c r="B10" s="26"/>
      <c r="C10" s="32"/>
      <c r="D10" s="28"/>
      <c r="E10" s="192"/>
      <c r="F10" s="27"/>
      <c r="N10" s="201" t="s">
        <v>447</v>
      </c>
    </row>
    <row r="11" spans="2:18" x14ac:dyDescent="0.25">
      <c r="B11" s="26"/>
      <c r="C11" s="33" t="s">
        <v>20</v>
      </c>
      <c r="D11" s="28"/>
      <c r="E11" s="188"/>
      <c r="F11" s="27"/>
      <c r="N11" s="201" t="s">
        <v>448</v>
      </c>
    </row>
    <row r="12" spans="2:18" x14ac:dyDescent="0.25">
      <c r="B12" s="26"/>
      <c r="C12" s="32"/>
      <c r="D12" s="28"/>
      <c r="E12" s="192"/>
      <c r="F12" s="27"/>
      <c r="N12" s="201" t="s">
        <v>449</v>
      </c>
    </row>
    <row r="13" spans="2:18" x14ac:dyDescent="0.25">
      <c r="B13" s="26"/>
      <c r="C13" s="33" t="s">
        <v>17</v>
      </c>
      <c r="D13" s="28"/>
      <c r="E13" s="197"/>
      <c r="F13" s="27"/>
      <c r="N13" s="201" t="s">
        <v>450</v>
      </c>
    </row>
    <row r="14" spans="2:18" x14ac:dyDescent="0.25">
      <c r="B14" s="26"/>
      <c r="C14" s="32"/>
      <c r="D14" s="28"/>
      <c r="E14" s="192"/>
      <c r="F14" s="27"/>
      <c r="N14" s="201" t="s">
        <v>451</v>
      </c>
    </row>
    <row r="15" spans="2:18" x14ac:dyDescent="0.25">
      <c r="B15" s="26"/>
      <c r="C15" s="33" t="s">
        <v>406</v>
      </c>
      <c r="D15" s="28"/>
      <c r="E15" s="189"/>
      <c r="F15" s="27"/>
      <c r="N15" s="201" t="s">
        <v>452</v>
      </c>
    </row>
    <row r="16" spans="2:18" x14ac:dyDescent="0.25">
      <c r="B16" s="26"/>
      <c r="C16" s="32"/>
      <c r="D16" s="28"/>
      <c r="E16" s="192"/>
      <c r="F16" s="27"/>
      <c r="N16" s="201" t="s">
        <v>453</v>
      </c>
    </row>
    <row r="17" spans="2:14" x14ac:dyDescent="0.25">
      <c r="B17" s="26"/>
      <c r="C17" s="33" t="s">
        <v>34</v>
      </c>
      <c r="D17" s="28"/>
      <c r="E17" s="198"/>
      <c r="F17" s="27"/>
      <c r="N17" s="201" t="s">
        <v>454</v>
      </c>
    </row>
    <row r="18" spans="2:14" x14ac:dyDescent="0.25">
      <c r="B18" s="26"/>
      <c r="C18" s="32"/>
      <c r="D18" s="28"/>
      <c r="E18" s="192"/>
      <c r="F18" s="27"/>
      <c r="N18" s="201" t="s">
        <v>455</v>
      </c>
    </row>
    <row r="19" spans="2:14" x14ac:dyDescent="0.25">
      <c r="B19" s="26"/>
      <c r="C19" s="33" t="s">
        <v>32</v>
      </c>
      <c r="D19" s="28"/>
      <c r="E19" s="190"/>
      <c r="F19" s="27"/>
      <c r="N19" s="201" t="s">
        <v>456</v>
      </c>
    </row>
    <row r="20" spans="2:14" x14ac:dyDescent="0.25">
      <c r="B20" s="26"/>
      <c r="C20" s="32"/>
      <c r="D20" s="28"/>
      <c r="E20" s="192"/>
      <c r="F20" s="27"/>
      <c r="N20" s="201" t="s">
        <v>457</v>
      </c>
    </row>
    <row r="21" spans="2:14" x14ac:dyDescent="0.25">
      <c r="B21" s="26"/>
      <c r="C21" s="33" t="s">
        <v>14</v>
      </c>
      <c r="D21" s="28"/>
      <c r="E21" s="191"/>
      <c r="F21" s="27"/>
      <c r="N21" s="201" t="s">
        <v>458</v>
      </c>
    </row>
    <row r="22" spans="2:14" x14ac:dyDescent="0.25">
      <c r="B22" s="26"/>
      <c r="C22" s="32"/>
      <c r="D22" s="28"/>
      <c r="E22" s="192"/>
      <c r="F22" s="27"/>
    </row>
    <row r="23" spans="2:14" x14ac:dyDescent="0.25">
      <c r="B23" s="26"/>
      <c r="C23" s="33" t="s">
        <v>35</v>
      </c>
      <c r="D23" s="28"/>
      <c r="E23" s="191"/>
      <c r="F23" s="27"/>
    </row>
    <row r="24" spans="2:14" x14ac:dyDescent="0.25">
      <c r="B24" s="26"/>
      <c r="C24" s="32"/>
      <c r="D24" s="28"/>
      <c r="E24" s="192">
        <v>100</v>
      </c>
      <c r="F24" s="27"/>
    </row>
    <row r="26" spans="2:14" x14ac:dyDescent="0.25">
      <c r="H26" s="20" t="s">
        <v>16</v>
      </c>
      <c r="K26" s="132" t="s">
        <v>37</v>
      </c>
      <c r="N26" t="s">
        <v>406</v>
      </c>
    </row>
    <row r="27" spans="2:14" x14ac:dyDescent="0.25">
      <c r="H27" s="200" t="s">
        <v>426</v>
      </c>
      <c r="K27" t="s">
        <v>184</v>
      </c>
      <c r="N27" t="s">
        <v>407</v>
      </c>
    </row>
    <row r="28" spans="2:14" x14ac:dyDescent="0.25">
      <c r="H28" s="21" t="s">
        <v>47</v>
      </c>
      <c r="K28" t="s">
        <v>39</v>
      </c>
      <c r="N28" t="s">
        <v>408</v>
      </c>
    </row>
    <row r="29" spans="2:14" x14ac:dyDescent="0.25">
      <c r="H29" s="21" t="s">
        <v>48</v>
      </c>
      <c r="K29" t="s">
        <v>260</v>
      </c>
    </row>
  </sheetData>
  <mergeCells count="1">
    <mergeCell ref="C3:E3"/>
  </mergeCells>
  <phoneticPr fontId="9" type="noConversion"/>
  <conditionalFormatting sqref="H3">
    <cfRule type="timePeriod" dxfId="25" priority="2" timePeriod="lastMonth">
      <formula>AND(MONTH(H3)=MONTH(EDATE(TODAY(),0-1)),YEAR(H3)=YEAR(EDATE(TODAY(),0-1)))</formula>
    </cfRule>
  </conditionalFormatting>
  <conditionalFormatting sqref="H4">
    <cfRule type="timePeriod" dxfId="24" priority="1" timePeriod="lastMonth">
      <formula>AND(MONTH(H4)=MONTH(EDATE(TODAY(),0-1)),YEAR(H4)=YEAR(EDATE(TODAY(),0-1)))</formula>
    </cfRule>
  </conditionalFormatting>
  <dataValidations count="4">
    <dataValidation type="list" allowBlank="1" showInputMessage="1" showErrorMessage="1" sqref="E21" xr:uid="{31E94DA0-FF7B-4150-9487-5D566A0AE55A}">
      <formula1>$H$27:$H$29</formula1>
    </dataValidation>
    <dataValidation type="list" allowBlank="1" showInputMessage="1" showErrorMessage="1" sqref="O17 E19" xr:uid="{EBA717F4-0D58-4F57-83EB-DE15E052390E}">
      <formula1>$H$2:$H$4</formula1>
    </dataValidation>
    <dataValidation type="list" allowBlank="1" showInputMessage="1" showErrorMessage="1" sqref="E23" xr:uid="{0898B952-1625-4974-9E03-057B0EC09496}">
      <formula1>$K$26:$K$29</formula1>
    </dataValidation>
    <dataValidation type="list" allowBlank="1" showInputMessage="1" showErrorMessage="1" sqref="E15" xr:uid="{A2D9B039-DCCD-4F60-9668-93BFB15784EE}">
      <formula1>$N$26:$N$28</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C02FA6-A7EF-46C9-A1DD-E6D24EE5C257}">
  <sheetPr codeName="Hoja7"/>
  <dimension ref="A1:V76"/>
  <sheetViews>
    <sheetView zoomScale="70" zoomScaleNormal="70" workbookViewId="0">
      <pane xSplit="2" topLeftCell="C1" activePane="topRight" state="frozen"/>
      <selection pane="topRight" activeCell="B3" sqref="B3:K3"/>
    </sheetView>
  </sheetViews>
  <sheetFormatPr baseColWidth="10" defaultColWidth="11.42578125" defaultRowHeight="15" x14ac:dyDescent="0.25"/>
  <cols>
    <col min="1" max="1" width="4.7109375" style="134" customWidth="1"/>
    <col min="2" max="2" width="20.7109375" style="35" customWidth="1"/>
    <col min="3" max="3" width="32.42578125" style="35" customWidth="1"/>
    <col min="4" max="4" width="50.140625" style="124" customWidth="1"/>
    <col min="5" max="5" width="23" style="36" customWidth="1"/>
    <col min="6" max="6" width="43.28515625" style="35" customWidth="1"/>
    <col min="7" max="7" width="33.140625" style="37" customWidth="1"/>
    <col min="8" max="8" width="30.42578125" style="37" customWidth="1"/>
    <col min="9" max="9" width="29.28515625" style="35" customWidth="1"/>
    <col min="10" max="10" width="27.140625" style="35" customWidth="1"/>
    <col min="11" max="11" width="22.85546875" style="39" customWidth="1"/>
    <col min="12" max="12" width="21.42578125" style="37" customWidth="1"/>
    <col min="13" max="13" width="18.28515625" style="37" customWidth="1"/>
    <col min="14" max="14" width="26.5703125" style="40" customWidth="1"/>
    <col min="15" max="15" width="169.42578125" style="35" customWidth="1"/>
    <col min="16" max="16" width="31" style="35" customWidth="1"/>
    <col min="17" max="17" width="40.5703125" style="35" customWidth="1"/>
    <col min="18" max="19" width="11.42578125" style="35"/>
    <col min="20" max="20" width="26.85546875" style="35" customWidth="1"/>
    <col min="21" max="16384" width="11.42578125" style="35"/>
  </cols>
  <sheetData>
    <row r="1" spans="2:22" x14ac:dyDescent="0.25">
      <c r="L1" s="37" t="s">
        <v>54</v>
      </c>
    </row>
    <row r="2" spans="2:22" x14ac:dyDescent="0.25">
      <c r="B2" s="35" t="s">
        <v>13</v>
      </c>
      <c r="C2" s="35" t="s">
        <v>31</v>
      </c>
      <c r="D2" s="124" t="s">
        <v>1</v>
      </c>
      <c r="E2" s="36" t="s">
        <v>20</v>
      </c>
      <c r="F2" s="35" t="s">
        <v>17</v>
      </c>
      <c r="G2" s="134" t="s">
        <v>406</v>
      </c>
      <c r="H2" s="37" t="s">
        <v>34</v>
      </c>
      <c r="I2" s="39" t="s">
        <v>32</v>
      </c>
      <c r="J2" s="35" t="s">
        <v>40</v>
      </c>
      <c r="K2" s="35" t="s">
        <v>35</v>
      </c>
      <c r="L2" s="39" t="s">
        <v>50</v>
      </c>
      <c r="M2" s="37" t="s">
        <v>65</v>
      </c>
      <c r="N2" s="35" t="s">
        <v>49</v>
      </c>
      <c r="O2" s="40" t="s">
        <v>63</v>
      </c>
    </row>
    <row r="3" spans="2:22" ht="20.100000000000001" customHeight="1" thickBot="1" x14ac:dyDescent="0.3">
      <c r="B3" s="128" t="s">
        <v>460</v>
      </c>
      <c r="C3" s="128" t="s">
        <v>445</v>
      </c>
      <c r="D3" s="124" t="s">
        <v>446</v>
      </c>
      <c r="E3" s="67">
        <v>956490922</v>
      </c>
      <c r="F3" s="134"/>
      <c r="G3" s="41" t="s">
        <v>408</v>
      </c>
      <c r="H3" s="37">
        <v>1.00327894733315E+16</v>
      </c>
      <c r="I3" s="39" t="s">
        <v>459</v>
      </c>
      <c r="J3" s="134" t="s">
        <v>426</v>
      </c>
      <c r="K3" s="134" t="s">
        <v>39</v>
      </c>
      <c r="L3" s="39" t="e">
        <f>I3+30</f>
        <v>#VALUE!</v>
      </c>
      <c r="M3" s="37" t="e">
        <f>L3-$R$8</f>
        <v>#VALUE!</v>
      </c>
      <c r="N3" s="128" t="e">
        <f>IF(M3&lt;=0,$Q$13,IF(M3&lt;=$R$9,$Q$12,$Q$11))</f>
        <v>#VALUE!</v>
      </c>
      <c r="O3" s="129" t="e">
        <f>"Hola "&amp;C3&amp;", Recuerda renovar tú contrato de 30 Días de conexión de Luz Electrica con MORE ENERGY."&amp;"%0A%0A"&amp;"Cuya Fecha de corte es el día: "&amp;TEXT(L3,"dd/mm/yyyy")</f>
        <v>#VALUE!</v>
      </c>
    </row>
    <row r="4" spans="2:22" ht="20.100000000000001" customHeight="1" thickBot="1" x14ac:dyDescent="0.3">
      <c r="B4" s="128" t="s">
        <v>441</v>
      </c>
      <c r="C4" s="128" t="s">
        <v>438</v>
      </c>
      <c r="D4" s="124" t="s">
        <v>439</v>
      </c>
      <c r="E4" s="67">
        <v>9563153628</v>
      </c>
      <c r="F4" s="134" t="s">
        <v>440</v>
      </c>
      <c r="G4" s="41" t="s">
        <v>408</v>
      </c>
      <c r="H4" s="37">
        <v>1.00327894057388E+16</v>
      </c>
      <c r="I4" s="39">
        <v>46192</v>
      </c>
      <c r="J4" s="134" t="s">
        <v>47</v>
      </c>
      <c r="K4" s="134" t="s">
        <v>184</v>
      </c>
      <c r="L4" s="39">
        <f>I4+30</f>
        <v>46222</v>
      </c>
      <c r="M4" s="37">
        <f>L4-$R$8</f>
        <v>46219</v>
      </c>
      <c r="N4" s="128" t="str">
        <f>IF(M4&lt;=0,$Q$13,IF(M4&lt;=$R$9,$Q$12,$Q$11))</f>
        <v>POR DESCONECTAR</v>
      </c>
      <c r="O4" s="129" t="str">
        <f>"Hola "&amp;C4&amp;", Recuerda renovar tú contrato de 30 Días de conexión de Luz Electrica con MORE ENERGY."&amp;"%0A%0A"&amp;"Cuya Fecha de corte es el día: "&amp;TEXT(L4,"dd/mm/yyyy")</f>
        <v>Hola Cassandra De La Garza, Recuerda renovar tú contrato de 30 Días de conexión de Luz Electrica con MORE ENERGY.%0A%0ACuya Fecha de corte es el día: 19/07/2026</v>
      </c>
      <c r="T4" s="65" t="s">
        <v>89</v>
      </c>
      <c r="U4" s="66" t="s">
        <v>87</v>
      </c>
    </row>
    <row r="5" spans="2:22" ht="20.100000000000001" customHeight="1" x14ac:dyDescent="0.25">
      <c r="B5" s="128" t="s">
        <v>436</v>
      </c>
      <c r="C5" s="128" t="s">
        <v>433</v>
      </c>
      <c r="D5" s="124" t="s">
        <v>434</v>
      </c>
      <c r="E5" s="67">
        <v>8174894853</v>
      </c>
      <c r="F5" s="134" t="s">
        <v>435</v>
      </c>
      <c r="G5" s="41" t="s">
        <v>408</v>
      </c>
      <c r="H5" s="37">
        <v>1.04437200021578E+16</v>
      </c>
      <c r="I5" s="39">
        <v>46192</v>
      </c>
      <c r="J5" s="134" t="s">
        <v>426</v>
      </c>
      <c r="K5" s="134" t="s">
        <v>39</v>
      </c>
      <c r="L5" s="39">
        <f>I5+30</f>
        <v>46222</v>
      </c>
      <c r="M5" s="37">
        <f>L5-$R$8</f>
        <v>46219</v>
      </c>
      <c r="N5" s="128" t="str">
        <f>IF(M5&lt;=0,$Q$13,IF(M5&lt;=$R$9,$Q$12,$Q$11))</f>
        <v>POR DESCONECTAR</v>
      </c>
      <c r="O5" s="129" t="str">
        <f>"Hola "&amp;C5&amp;", Recuerda renovar tú contrato de 30 Días de conexión de Luz Electrica con MORE ENERGY."&amp;"%0A%0A"&amp;"Cuya Fecha de corte es el día: "&amp;TEXT(L5,"dd/mm/yyyy")</f>
        <v>Hola Paul Haley, Recuerda renovar tú contrato de 30 Días de conexión de Luz Electrica con MORE ENERGY.%0A%0ACuya Fecha de corte es el día: 19/07/2026</v>
      </c>
    </row>
    <row r="6" spans="2:22" ht="15.75" x14ac:dyDescent="0.25">
      <c r="B6" s="128" t="s">
        <v>432</v>
      </c>
      <c r="C6" s="128" t="s">
        <v>429</v>
      </c>
      <c r="D6" s="124" t="s">
        <v>430</v>
      </c>
      <c r="E6" s="67">
        <v>3612859098</v>
      </c>
      <c r="F6" s="134" t="s">
        <v>431</v>
      </c>
      <c r="G6" s="41" t="s">
        <v>407</v>
      </c>
      <c r="H6" s="37">
        <v>1.00327894870779E+16</v>
      </c>
      <c r="I6" s="39">
        <v>46032</v>
      </c>
      <c r="J6" s="134" t="s">
        <v>426</v>
      </c>
      <c r="K6" s="134" t="s">
        <v>260</v>
      </c>
      <c r="L6" s="39">
        <f>I6+30</f>
        <v>46062</v>
      </c>
      <c r="M6" s="37">
        <f t="shared" ref="M6:M11" ca="1" si="0">L6-$R$7</f>
        <v>-131</v>
      </c>
      <c r="N6" s="128">
        <f t="shared" ref="N6:N7" ca="1" si="1">IF(M6&lt;=0,$Q$13,IF(M6&lt;=$R$9,$Q$12,$Q$11))</f>
        <v>0</v>
      </c>
      <c r="O6" s="129" t="str">
        <f t="shared" ref="O6:O10" si="2">"Hola "&amp;C6&amp;", Recuerda renovar tú contrato de 30 Días de conexión de Luz Electrica con MORE ENERGY."&amp;"%0A%0A"&amp;"Cuya Fecha de corte es el día: "&amp;TEXT(L6,"dd/mm/yyyy")</f>
        <v>Hola Joann Gonzales, Recuerda renovar tú contrato de 30 Días de conexión de Luz Electrica con MORE ENERGY.%0A%0ACuya Fecha de corte es el día: 09/02/2026</v>
      </c>
      <c r="T6" s="207" t="str">
        <f>U4</f>
        <v>Génesis  Vielma</v>
      </c>
      <c r="U6" s="207"/>
    </row>
    <row r="7" spans="2:22" ht="15.75" x14ac:dyDescent="0.25">
      <c r="B7" s="128" t="s">
        <v>427</v>
      </c>
      <c r="C7" s="128" t="s">
        <v>423</v>
      </c>
      <c r="D7" s="124" t="s">
        <v>425</v>
      </c>
      <c r="E7" s="67">
        <v>9569497596</v>
      </c>
      <c r="F7" s="134" t="s">
        <v>424</v>
      </c>
      <c r="G7" s="41" t="s">
        <v>407</v>
      </c>
      <c r="H7" s="37">
        <v>1.00327894386758E+16</v>
      </c>
      <c r="I7" s="39">
        <v>46028</v>
      </c>
      <c r="J7" s="134" t="s">
        <v>426</v>
      </c>
      <c r="K7" s="134" t="s">
        <v>260</v>
      </c>
      <c r="L7" s="39">
        <f t="shared" ref="L7:L11" si="3">I7+30</f>
        <v>46058</v>
      </c>
      <c r="M7" s="37">
        <f t="shared" ca="1" si="0"/>
        <v>-135</v>
      </c>
      <c r="N7" s="128">
        <f t="shared" ca="1" si="1"/>
        <v>0</v>
      </c>
      <c r="O7" s="129" t="str">
        <f t="shared" si="2"/>
        <v>Hola Oswaldo Muedano Hernandez, Recuerda renovar tú contrato de 30 Días de conexión de Luz Electrica con MORE ENERGY.%0A%0ACuya Fecha de corte es el día: 05/02/2026</v>
      </c>
      <c r="Q7" s="68" t="s">
        <v>88</v>
      </c>
      <c r="R7" s="70">
        <f ca="1">TODAY()</f>
        <v>46193</v>
      </c>
      <c r="T7" s="203" t="s">
        <v>90</v>
      </c>
      <c r="U7" s="203"/>
    </row>
    <row r="8" spans="2:22" ht="15.75" x14ac:dyDescent="0.25">
      <c r="B8" s="128" t="s">
        <v>421</v>
      </c>
      <c r="C8" s="128" t="s">
        <v>418</v>
      </c>
      <c r="D8" s="124" t="s">
        <v>419</v>
      </c>
      <c r="E8" s="67">
        <v>3469175008</v>
      </c>
      <c r="F8" s="134" t="s">
        <v>420</v>
      </c>
      <c r="G8" s="41" t="s">
        <v>407</v>
      </c>
      <c r="H8" s="37">
        <v>1.04437200032475E+16</v>
      </c>
      <c r="I8" s="39">
        <v>45997</v>
      </c>
      <c r="J8" s="134" t="s">
        <v>46</v>
      </c>
      <c r="K8" s="134" t="s">
        <v>39</v>
      </c>
      <c r="L8" s="39">
        <f t="shared" si="3"/>
        <v>46027</v>
      </c>
      <c r="M8" s="37">
        <f t="shared" ca="1" si="0"/>
        <v>-166</v>
      </c>
      <c r="N8" s="128" t="str">
        <f ca="1">IF(M8&lt;=0,$Q$12,IF(M8&lt;=$R$8,$Q$11,$Q$10))</f>
        <v>SIN CONEXIÓN</v>
      </c>
      <c r="O8" s="129" t="str">
        <f t="shared" si="2"/>
        <v>Hola Juana Carolina, Recuerda renovar tú contrato de 30 Días de conexión de Luz Electrica con MORE ENERGY.%0A%0ACuya Fecha de corte es el día: 05/01/2026</v>
      </c>
      <c r="Q8" s="69" t="s">
        <v>55</v>
      </c>
      <c r="R8" s="69">
        <v>3</v>
      </c>
      <c r="T8" s="208" t="e">
        <f>_xlfn.XLOOKUP(U4,TCLIENTES2[NOMBRE Y APELLIDO],TCLIENTES2[FECHA DE CORTE])</f>
        <v>#N/A</v>
      </c>
      <c r="U8" s="208"/>
    </row>
    <row r="9" spans="2:22" s="42" customFormat="1" ht="15.75" x14ac:dyDescent="0.25">
      <c r="B9" s="128" t="s">
        <v>417</v>
      </c>
      <c r="C9" s="128" t="s">
        <v>414</v>
      </c>
      <c r="D9" s="124" t="s">
        <v>415</v>
      </c>
      <c r="E9" s="67">
        <v>8323065314</v>
      </c>
      <c r="F9" s="134" t="s">
        <v>416</v>
      </c>
      <c r="G9" s="41" t="s">
        <v>408</v>
      </c>
      <c r="H9" s="37">
        <v>1.00890102380405E+21</v>
      </c>
      <c r="I9" s="199">
        <v>45944</v>
      </c>
      <c r="J9" s="134" t="s">
        <v>46</v>
      </c>
      <c r="K9" s="134" t="s">
        <v>260</v>
      </c>
      <c r="L9" s="199">
        <f t="shared" si="3"/>
        <v>45974</v>
      </c>
      <c r="M9" s="37">
        <f t="shared" ca="1" si="0"/>
        <v>-219</v>
      </c>
      <c r="N9" s="128" t="str">
        <f ca="1">IF(M9&lt;=0,$Q$12,IF(M9&lt;=$R$8,$Q$11,$Q$10))</f>
        <v>SIN CONEXIÓN</v>
      </c>
      <c r="O9" s="129" t="str">
        <f t="shared" si="2"/>
        <v>Hola Jovan Barron, Recuerda renovar tú contrato de 30 Días de conexión de Luz Electrica con MORE ENERGY.%0A%0ACuya Fecha de corte es el día: 13/11/2025</v>
      </c>
      <c r="P9" s="35"/>
      <c r="Q9" s="203" t="s">
        <v>49</v>
      </c>
      <c r="R9" s="203"/>
      <c r="S9" s="35"/>
      <c r="T9" s="209"/>
      <c r="U9" s="209"/>
      <c r="V9" s="35"/>
    </row>
    <row r="10" spans="2:22" ht="15.75" x14ac:dyDescent="0.25">
      <c r="B10" s="128" t="s">
        <v>413</v>
      </c>
      <c r="C10" s="128" t="s">
        <v>409</v>
      </c>
      <c r="D10" s="124" t="s">
        <v>410</v>
      </c>
      <c r="E10" s="67">
        <v>7138574052</v>
      </c>
      <c r="F10" s="134" t="s">
        <v>411</v>
      </c>
      <c r="G10" s="41" t="s">
        <v>408</v>
      </c>
      <c r="H10" s="37" t="s">
        <v>412</v>
      </c>
      <c r="I10" s="39">
        <v>45924</v>
      </c>
      <c r="J10" s="134" t="s">
        <v>46</v>
      </c>
      <c r="K10" s="134" t="s">
        <v>260</v>
      </c>
      <c r="L10" s="39">
        <f t="shared" si="3"/>
        <v>45954</v>
      </c>
      <c r="M10" s="37">
        <f t="shared" ca="1" si="0"/>
        <v>-239</v>
      </c>
      <c r="N10" s="128" t="str">
        <f ca="1">IF(M10&lt;=0,$Q$12,IF(M10&lt;=$R$8,$Q$11,$Q$10))</f>
        <v>SIN CONEXIÓN</v>
      </c>
      <c r="O10" s="129" t="str">
        <f t="shared" si="2"/>
        <v>Hola Domingo Hernández, Recuerda renovar tú contrato de 30 Días de conexión de Luz Electrica con MORE ENERGY.%0A%0ACuya Fecha de corte es el día: 24/10/2025</v>
      </c>
      <c r="Q10" s="204" t="s">
        <v>53</v>
      </c>
      <c r="R10" s="204"/>
      <c r="T10" s="209"/>
      <c r="U10" s="209"/>
    </row>
    <row r="11" spans="2:22" s="58" customFormat="1" ht="15.75" x14ac:dyDescent="0.25">
      <c r="B11" s="128" t="s">
        <v>405</v>
      </c>
      <c r="C11" s="128" t="s">
        <v>401</v>
      </c>
      <c r="D11" s="124" t="s">
        <v>402</v>
      </c>
      <c r="E11" s="67">
        <v>9564151905</v>
      </c>
      <c r="F11" s="134" t="s">
        <v>403</v>
      </c>
      <c r="G11" s="134"/>
      <c r="H11" s="37" t="s">
        <v>404</v>
      </c>
      <c r="I11" s="39">
        <v>45923</v>
      </c>
      <c r="J11" s="134" t="s">
        <v>46</v>
      </c>
      <c r="K11" s="134" t="s">
        <v>260</v>
      </c>
      <c r="L11" s="39">
        <f t="shared" si="3"/>
        <v>45953</v>
      </c>
      <c r="M11" s="37">
        <f t="shared" ca="1" si="0"/>
        <v>-240</v>
      </c>
      <c r="N11" s="128" t="str">
        <f ca="1">IF(M11&lt;=0,$Q$12,IF(M11&lt;=$R$8,$Q$11,$Q$10))</f>
        <v>SIN CONEXIÓN</v>
      </c>
      <c r="O11" s="129" t="str">
        <f t="shared" ref="O11:O55" si="4">"Hola "&amp;C11&amp;", Recuerda renovar tú contrato de 30 Días de conexión de Luz Electrica con MORE ENERGY."&amp;"%0A%0A"&amp;"Cuya Fecha de corte es el día: "&amp;TEXT(L11,"dd/mm/yyyy")</f>
        <v>Hola Maria G Almanza, Recuerda renovar tú contrato de 30 Días de conexión de Luz Electrica con MORE ENERGY.%0A%0ACuya Fecha de corte es el día: 23/10/2025</v>
      </c>
      <c r="P11" s="42"/>
      <c r="Q11" s="205" t="s">
        <v>51</v>
      </c>
      <c r="R11" s="205"/>
      <c r="S11" s="42"/>
      <c r="T11" s="209"/>
      <c r="U11" s="209"/>
      <c r="V11" s="42"/>
    </row>
    <row r="12" spans="2:22" s="58" customFormat="1" ht="15.75" x14ac:dyDescent="0.25">
      <c r="B12" s="128" t="s">
        <v>145</v>
      </c>
      <c r="C12" s="128" t="s">
        <v>397</v>
      </c>
      <c r="D12" s="124" t="s">
        <v>398</v>
      </c>
      <c r="E12" s="196">
        <v>8328013492</v>
      </c>
      <c r="F12" s="134" t="s">
        <v>399</v>
      </c>
      <c r="G12" s="134"/>
      <c r="H12" s="37" t="s">
        <v>400</v>
      </c>
      <c r="I12" s="195">
        <v>45922</v>
      </c>
      <c r="J12" s="134" t="s">
        <v>46</v>
      </c>
      <c r="K12" s="134" t="s">
        <v>260</v>
      </c>
      <c r="L12" s="39">
        <f t="shared" ref="L12:L17" si="5">I12+30</f>
        <v>45952</v>
      </c>
      <c r="M12" s="37">
        <f t="shared" ref="M12:M17" ca="1" si="6">L12-$R$7</f>
        <v>-241</v>
      </c>
      <c r="N12" s="128" t="str">
        <f t="shared" ref="N12:N17" ca="1" si="7">IF(M12&lt;=0,$Q$12,IF(M12&lt;=$R$8,$Q$11,$Q$10))</f>
        <v>SIN CONEXIÓN</v>
      </c>
      <c r="O12" s="129" t="str">
        <f t="shared" si="4"/>
        <v>Hola Ariel Gonzalez , Recuerda renovar tú contrato de 30 Días de conexión de Luz Electrica con MORE ENERGY.%0A%0ACuya Fecha de corte es el día: 22/10/2025</v>
      </c>
      <c r="P12" s="35"/>
      <c r="Q12" s="206" t="s">
        <v>52</v>
      </c>
      <c r="R12" s="206"/>
      <c r="S12" s="35"/>
      <c r="T12" s="209"/>
      <c r="U12" s="209"/>
      <c r="V12" s="35"/>
    </row>
    <row r="13" spans="2:22" s="58" customFormat="1" x14ac:dyDescent="0.25">
      <c r="B13" s="128" t="s">
        <v>396</v>
      </c>
      <c r="C13" s="128" t="s">
        <v>392</v>
      </c>
      <c r="D13" s="124" t="s">
        <v>393</v>
      </c>
      <c r="E13" s="67">
        <v>8328013492</v>
      </c>
      <c r="F13" s="134" t="s">
        <v>394</v>
      </c>
      <c r="G13" s="134"/>
      <c r="H13" s="37" t="s">
        <v>395</v>
      </c>
      <c r="I13" s="39">
        <v>45920</v>
      </c>
      <c r="J13" s="134" t="s">
        <v>46</v>
      </c>
      <c r="K13" s="134" t="s">
        <v>260</v>
      </c>
      <c r="L13" s="39">
        <f t="shared" si="5"/>
        <v>45950</v>
      </c>
      <c r="M13" s="37">
        <f t="shared" ca="1" si="6"/>
        <v>-243</v>
      </c>
      <c r="N13" s="128" t="str">
        <f t="shared" ca="1" si="7"/>
        <v>SIN CONEXIÓN</v>
      </c>
      <c r="O13" s="129" t="str">
        <f t="shared" si="4"/>
        <v>Hola Elver Sabillon, Recuerda renovar tú contrato de 30 Días de conexión de Luz Electrica con MORE ENERGY.%0A%0ACuya Fecha de corte es el día: 20/10/2025</v>
      </c>
      <c r="Q13" s="35"/>
      <c r="R13" s="35"/>
    </row>
    <row r="14" spans="2:22" x14ac:dyDescent="0.25">
      <c r="B14" s="128" t="s">
        <v>391</v>
      </c>
      <c r="C14" s="128" t="s">
        <v>380</v>
      </c>
      <c r="D14" s="124" t="s">
        <v>381</v>
      </c>
      <c r="E14" s="67">
        <v>8328203214</v>
      </c>
      <c r="F14" s="134" t="s">
        <v>382</v>
      </c>
      <c r="G14" s="134"/>
      <c r="H14" s="37" t="s">
        <v>383</v>
      </c>
      <c r="I14" s="39">
        <v>45920</v>
      </c>
      <c r="J14" s="134" t="s">
        <v>46</v>
      </c>
      <c r="K14" s="134" t="s">
        <v>260</v>
      </c>
      <c r="L14" s="39">
        <f t="shared" si="5"/>
        <v>45950</v>
      </c>
      <c r="M14" s="37">
        <f t="shared" ca="1" si="6"/>
        <v>-243</v>
      </c>
      <c r="N14" s="128" t="str">
        <f t="shared" ca="1" si="7"/>
        <v>SIN CONEXIÓN</v>
      </c>
      <c r="O14" s="129" t="str">
        <f t="shared" si="4"/>
        <v>Hola Maria del Rosario Gamez, Recuerda renovar tú contrato de 30 Días de conexión de Luz Electrica con MORE ENERGY.%0A%0ACuya Fecha de corte es el día: 20/10/2025</v>
      </c>
      <c r="P14" s="58"/>
      <c r="S14" s="58"/>
      <c r="T14" s="58"/>
      <c r="U14" s="58"/>
      <c r="V14" s="58"/>
    </row>
    <row r="15" spans="2:22" x14ac:dyDescent="0.25">
      <c r="B15" s="128" t="s">
        <v>379</v>
      </c>
      <c r="C15" s="128" t="s">
        <v>375</v>
      </c>
      <c r="D15" s="124" t="s">
        <v>376</v>
      </c>
      <c r="E15" s="67">
        <v>8327582963</v>
      </c>
      <c r="F15" s="134" t="s">
        <v>377</v>
      </c>
      <c r="G15" s="134"/>
      <c r="H15" s="37" t="s">
        <v>378</v>
      </c>
      <c r="I15" s="39">
        <v>45919</v>
      </c>
      <c r="J15" s="134" t="s">
        <v>46</v>
      </c>
      <c r="K15" s="134" t="s">
        <v>260</v>
      </c>
      <c r="L15" s="39">
        <f t="shared" si="5"/>
        <v>45949</v>
      </c>
      <c r="M15" s="37">
        <f t="shared" ca="1" si="6"/>
        <v>-244</v>
      </c>
      <c r="N15" s="128" t="str">
        <f t="shared" ca="1" si="7"/>
        <v>SIN CONEXIÓN</v>
      </c>
      <c r="O15" s="129" t="str">
        <f t="shared" si="4"/>
        <v>Hola German Enamorado, Recuerda renovar tú contrato de 30 Días de conexión de Luz Electrica con MORE ENERGY.%0A%0ACuya Fecha de corte es el día: 19/10/2025</v>
      </c>
      <c r="P15" s="58"/>
      <c r="S15" s="58"/>
      <c r="T15" s="58"/>
      <c r="U15" s="58"/>
      <c r="V15" s="58"/>
    </row>
    <row r="16" spans="2:22" s="58" customFormat="1" x14ac:dyDescent="0.25">
      <c r="B16" s="128" t="s">
        <v>261</v>
      </c>
      <c r="C16" s="128" t="s">
        <v>371</v>
      </c>
      <c r="D16" s="124" t="s">
        <v>372</v>
      </c>
      <c r="E16" s="67">
        <v>9565661525</v>
      </c>
      <c r="F16" s="134" t="s">
        <v>373</v>
      </c>
      <c r="G16" s="134"/>
      <c r="H16" s="37" t="s">
        <v>374</v>
      </c>
      <c r="I16" s="39">
        <v>45919</v>
      </c>
      <c r="J16" s="134" t="s">
        <v>46</v>
      </c>
      <c r="K16" s="134" t="s">
        <v>260</v>
      </c>
      <c r="L16" s="39">
        <f t="shared" si="5"/>
        <v>45949</v>
      </c>
      <c r="M16" s="37">
        <f t="shared" ca="1" si="6"/>
        <v>-244</v>
      </c>
      <c r="N16" s="128" t="str">
        <f t="shared" ca="1" si="7"/>
        <v>SIN CONEXIÓN</v>
      </c>
      <c r="O16" s="129" t="str">
        <f t="shared" si="4"/>
        <v>Hola Andy santiel González Granja, Recuerda renovar tú contrato de 30 Días de conexión de Luz Electrica con MORE ENERGY.%0A%0ACuya Fecha de corte es el día: 19/10/2025</v>
      </c>
      <c r="P16" s="35"/>
      <c r="Q16" s="35"/>
      <c r="R16" s="35"/>
      <c r="S16" s="35"/>
      <c r="T16" s="35"/>
      <c r="U16" s="35"/>
      <c r="V16" s="35"/>
    </row>
    <row r="17" spans="2:22" s="58" customFormat="1" x14ac:dyDescent="0.25">
      <c r="B17" s="128" t="s">
        <v>357</v>
      </c>
      <c r="C17" s="128" t="s">
        <v>353</v>
      </c>
      <c r="D17" s="124" t="s">
        <v>354</v>
      </c>
      <c r="E17" s="67">
        <v>4695206647</v>
      </c>
      <c r="F17" s="134" t="s">
        <v>355</v>
      </c>
      <c r="G17" s="134"/>
      <c r="H17" s="37" t="s">
        <v>356</v>
      </c>
      <c r="I17" s="39">
        <v>45919</v>
      </c>
      <c r="J17" s="134" t="s">
        <v>46</v>
      </c>
      <c r="K17" s="134" t="s">
        <v>260</v>
      </c>
      <c r="L17" s="39">
        <f t="shared" si="5"/>
        <v>45949</v>
      </c>
      <c r="M17" s="37">
        <f t="shared" ca="1" si="6"/>
        <v>-244</v>
      </c>
      <c r="N17" s="128" t="str">
        <f t="shared" ca="1" si="7"/>
        <v>SIN CONEXIÓN</v>
      </c>
      <c r="O17" s="129" t="str">
        <f t="shared" si="4"/>
        <v>Hola Nicole Martin, Recuerda renovar tú contrato de 30 Días de conexión de Luz Electrica con MORE ENERGY.%0A%0ACuya Fecha de corte es el día: 19/10/2025</v>
      </c>
      <c r="P17" s="35"/>
      <c r="Q17" s="42"/>
      <c r="R17" s="42"/>
      <c r="S17" s="35"/>
      <c r="T17" s="35"/>
      <c r="U17" s="35"/>
      <c r="V17" s="35"/>
    </row>
    <row r="18" spans="2:22" x14ac:dyDescent="0.25">
      <c r="B18" s="128" t="s">
        <v>352</v>
      </c>
      <c r="C18" s="128" t="s">
        <v>348</v>
      </c>
      <c r="D18" s="124" t="s">
        <v>349</v>
      </c>
      <c r="E18" s="67">
        <v>9567754452</v>
      </c>
      <c r="F18" s="134" t="s">
        <v>350</v>
      </c>
      <c r="G18" s="134"/>
      <c r="H18" s="37" t="s">
        <v>351</v>
      </c>
      <c r="I18" s="39">
        <v>45912</v>
      </c>
      <c r="J18" s="134" t="s">
        <v>46</v>
      </c>
      <c r="K18" s="134" t="s">
        <v>260</v>
      </c>
      <c r="L18" s="39">
        <f t="shared" ref="L18:L23" si="8">I18+30</f>
        <v>45942</v>
      </c>
      <c r="M18" s="37">
        <f t="shared" ref="M18:M23" ca="1" si="9">L18-$R$7</f>
        <v>-251</v>
      </c>
      <c r="N18" s="128" t="str">
        <f t="shared" ref="N18:N23" ca="1" si="10">IF(M18&lt;=0,$Q$12,IF(M18&lt;=$R$8,$Q$11,$Q$10))</f>
        <v>SIN CONEXIÓN</v>
      </c>
      <c r="O18" s="129" t="str">
        <f t="shared" si="4"/>
        <v>Hola Alma R Cisneros Muñoz , Recuerda renovar tú contrato de 30 Días de conexión de Luz Electrica con MORE ENERGY.%0A%0ACuya Fecha de corte es el día: 12/10/2025</v>
      </c>
      <c r="P18" s="58"/>
      <c r="S18" s="58"/>
      <c r="T18" s="58"/>
      <c r="U18" s="58"/>
      <c r="V18" s="58"/>
    </row>
    <row r="19" spans="2:22" ht="13.5" customHeight="1" x14ac:dyDescent="0.25">
      <c r="B19" s="128" t="s">
        <v>346</v>
      </c>
      <c r="C19" s="128" t="s">
        <v>342</v>
      </c>
      <c r="D19" s="124" t="s">
        <v>343</v>
      </c>
      <c r="E19" s="67">
        <v>9563329141</v>
      </c>
      <c r="F19" s="134" t="s">
        <v>345</v>
      </c>
      <c r="G19" s="134"/>
      <c r="H19" s="37" t="s">
        <v>344</v>
      </c>
      <c r="I19" s="39">
        <v>45912</v>
      </c>
      <c r="J19" s="134" t="s">
        <v>46</v>
      </c>
      <c r="K19" s="134" t="s">
        <v>260</v>
      </c>
      <c r="L19" s="39">
        <f t="shared" si="8"/>
        <v>45942</v>
      </c>
      <c r="M19" s="37">
        <f t="shared" ca="1" si="9"/>
        <v>-251</v>
      </c>
      <c r="N19" s="128" t="str">
        <f t="shared" ca="1" si="10"/>
        <v>SIN CONEXIÓN</v>
      </c>
      <c r="O19" s="129" t="str">
        <f t="shared" si="4"/>
        <v>Hola Esmeralda Dávila , Recuerda renovar tú contrato de 30 Días de conexión de Luz Electrica con MORE ENERGY.%0A%0ACuya Fecha de corte es el día: 12/10/2025</v>
      </c>
      <c r="P19" s="58"/>
      <c r="Q19" s="58"/>
      <c r="R19" s="58"/>
      <c r="S19" s="58"/>
      <c r="T19" s="58"/>
      <c r="U19" s="58"/>
      <c r="V19" s="58"/>
    </row>
    <row r="20" spans="2:22" x14ac:dyDescent="0.25">
      <c r="B20" s="128" t="s">
        <v>341</v>
      </c>
      <c r="C20" s="128" t="s">
        <v>337</v>
      </c>
      <c r="D20" s="124" t="s">
        <v>338</v>
      </c>
      <c r="E20" s="67">
        <v>8329043482</v>
      </c>
      <c r="F20" s="134" t="s">
        <v>339</v>
      </c>
      <c r="G20" s="134"/>
      <c r="H20" s="37" t="s">
        <v>340</v>
      </c>
      <c r="I20" s="39">
        <v>45901</v>
      </c>
      <c r="J20" s="134" t="s">
        <v>46</v>
      </c>
      <c r="K20" s="134" t="s">
        <v>260</v>
      </c>
      <c r="L20" s="39">
        <f t="shared" si="8"/>
        <v>45931</v>
      </c>
      <c r="M20" s="37">
        <f t="shared" ca="1" si="9"/>
        <v>-262</v>
      </c>
      <c r="N20" s="128" t="str">
        <f t="shared" ca="1" si="10"/>
        <v>SIN CONEXIÓN</v>
      </c>
      <c r="O20" s="129" t="str">
        <f t="shared" si="4"/>
        <v>Hola Ingrid Lorena Vargas Hernández, Recuerda renovar tú contrato de 30 Días de conexión de Luz Electrica con MORE ENERGY.%0A%0ACuya Fecha de corte es el día: 01/10/2025</v>
      </c>
      <c r="Q20" s="58"/>
      <c r="R20" s="58"/>
    </row>
    <row r="21" spans="2:22" x14ac:dyDescent="0.25">
      <c r="B21" s="128" t="s">
        <v>336</v>
      </c>
      <c r="C21" s="128" t="s">
        <v>332</v>
      </c>
      <c r="D21" s="124" t="s">
        <v>333</v>
      </c>
      <c r="E21" s="67">
        <v>9562958563</v>
      </c>
      <c r="F21" s="134" t="s">
        <v>334</v>
      </c>
      <c r="G21" s="134"/>
      <c r="H21" s="37" t="s">
        <v>335</v>
      </c>
      <c r="I21" s="39">
        <v>45901</v>
      </c>
      <c r="J21" s="134" t="s">
        <v>46</v>
      </c>
      <c r="K21" s="134" t="s">
        <v>260</v>
      </c>
      <c r="L21" s="39">
        <f t="shared" si="8"/>
        <v>45931</v>
      </c>
      <c r="M21" s="37">
        <f t="shared" ca="1" si="9"/>
        <v>-262</v>
      </c>
      <c r="N21" s="128" t="str">
        <f t="shared" ca="1" si="10"/>
        <v>SIN CONEXIÓN</v>
      </c>
      <c r="O21" s="129" t="str">
        <f t="shared" si="4"/>
        <v>Hola Javier Medina Bedolla, Recuerda renovar tú contrato de 30 Días de conexión de Luz Electrica con MORE ENERGY.%0A%0ACuya Fecha de corte es el día: 01/10/2025</v>
      </c>
      <c r="Q21" s="58"/>
      <c r="R21" s="58"/>
    </row>
    <row r="22" spans="2:22" x14ac:dyDescent="0.25">
      <c r="B22" s="128" t="s">
        <v>331</v>
      </c>
      <c r="C22" s="128" t="s">
        <v>327</v>
      </c>
      <c r="D22" s="124" t="s">
        <v>328</v>
      </c>
      <c r="E22" s="67">
        <v>9565998722</v>
      </c>
      <c r="F22" s="134" t="s">
        <v>329</v>
      </c>
      <c r="G22" s="134"/>
      <c r="H22" s="37" t="s">
        <v>330</v>
      </c>
      <c r="I22" s="39">
        <v>45901</v>
      </c>
      <c r="J22" s="134" t="s">
        <v>46</v>
      </c>
      <c r="K22" s="134" t="s">
        <v>260</v>
      </c>
      <c r="L22" s="39">
        <f t="shared" si="8"/>
        <v>45931</v>
      </c>
      <c r="M22" s="37">
        <f t="shared" ca="1" si="9"/>
        <v>-262</v>
      </c>
      <c r="N22" s="128" t="str">
        <f t="shared" ca="1" si="10"/>
        <v>SIN CONEXIÓN</v>
      </c>
      <c r="O22" s="129" t="str">
        <f t="shared" si="4"/>
        <v>Hola John F García, Recuerda renovar tú contrato de 30 Días de conexión de Luz Electrica con MORE ENERGY.%0A%0ACuya Fecha de corte es el día: 01/10/2025</v>
      </c>
      <c r="V22" s="35" t="s">
        <v>91</v>
      </c>
    </row>
    <row r="23" spans="2:22" x14ac:dyDescent="0.25">
      <c r="B23" s="128" t="s">
        <v>325</v>
      </c>
      <c r="C23" s="128" t="s">
        <v>321</v>
      </c>
      <c r="D23" s="124" t="s">
        <v>322</v>
      </c>
      <c r="E23" s="67">
        <v>9569545766</v>
      </c>
      <c r="F23" s="134" t="s">
        <v>323</v>
      </c>
      <c r="G23" s="134"/>
      <c r="H23" s="37" t="s">
        <v>324</v>
      </c>
      <c r="I23" s="39">
        <v>45898</v>
      </c>
      <c r="J23" s="134" t="s">
        <v>46</v>
      </c>
      <c r="K23" s="134" t="s">
        <v>39</v>
      </c>
      <c r="L23" s="39">
        <f t="shared" si="8"/>
        <v>45928</v>
      </c>
      <c r="M23" s="37">
        <f t="shared" ca="1" si="9"/>
        <v>-265</v>
      </c>
      <c r="N23" s="128" t="str">
        <f t="shared" ca="1" si="10"/>
        <v>SIN CONEXIÓN</v>
      </c>
      <c r="O23" s="129" t="str">
        <f t="shared" si="4"/>
        <v>Hola Martin Salas, Recuerda renovar tú contrato de 30 Días de conexión de Luz Electrica con MORE ENERGY.%0A%0ACuya Fecha de corte es el día: 28/09/2025</v>
      </c>
    </row>
    <row r="24" spans="2:22" x14ac:dyDescent="0.25">
      <c r="B24" s="128" t="s">
        <v>320</v>
      </c>
      <c r="C24" s="128" t="s">
        <v>316</v>
      </c>
      <c r="D24" s="124" t="s">
        <v>317</v>
      </c>
      <c r="E24" s="67">
        <v>8328964944</v>
      </c>
      <c r="F24" s="134" t="s">
        <v>318</v>
      </c>
      <c r="G24" s="134"/>
      <c r="H24" s="37" t="s">
        <v>319</v>
      </c>
      <c r="I24" s="39">
        <v>45878</v>
      </c>
      <c r="J24" s="134" t="s">
        <v>47</v>
      </c>
      <c r="K24" s="134" t="s">
        <v>39</v>
      </c>
      <c r="L24" s="39">
        <f t="shared" ref="L24:L29" si="11">I24+30</f>
        <v>45908</v>
      </c>
      <c r="M24" s="37">
        <f ca="1">L24-$R$7</f>
        <v>-285</v>
      </c>
      <c r="N24" s="128" t="str">
        <f ca="1">IF(M24&lt;=0,$Q$12,IF(M24&lt;=$R$8,$Q$11,$Q$10))</f>
        <v>SIN CONEXIÓN</v>
      </c>
      <c r="O24" s="129" t="str">
        <f t="shared" si="4"/>
        <v>Hola Wilmer Soto Garcia, Recuerda renovar tú contrato de 30 Días de conexión de Luz Electrica con MORE ENERGY.%0A%0ACuya Fecha de corte es el día: 08/09/2025</v>
      </c>
      <c r="Q24" s="58"/>
      <c r="R24" s="58"/>
    </row>
    <row r="25" spans="2:22" x14ac:dyDescent="0.25">
      <c r="B25" s="128" t="s">
        <v>315</v>
      </c>
      <c r="C25" s="128" t="s">
        <v>313</v>
      </c>
      <c r="D25" s="124" t="s">
        <v>311</v>
      </c>
      <c r="E25" s="67">
        <v>4696683787</v>
      </c>
      <c r="F25" s="134" t="s">
        <v>312</v>
      </c>
      <c r="G25" s="134"/>
      <c r="H25" s="37" t="s">
        <v>314</v>
      </c>
      <c r="I25" s="39">
        <v>45866</v>
      </c>
      <c r="J25" s="134" t="s">
        <v>47</v>
      </c>
      <c r="K25" s="134" t="s">
        <v>39</v>
      </c>
      <c r="L25" s="39">
        <f t="shared" si="11"/>
        <v>45896</v>
      </c>
      <c r="M25" s="37">
        <f ca="1">L25-$R$7</f>
        <v>-297</v>
      </c>
      <c r="N25" s="128" t="str">
        <f ca="1">IF(M25&lt;=0,$Q$12,IF(M25&lt;=$R$8,$Q$11,$Q$10))</f>
        <v>SIN CONEXIÓN</v>
      </c>
      <c r="O25" s="129" t="str">
        <f t="shared" si="4"/>
        <v>Hola Ledis Espinal, Recuerda renovar tú contrato de 30 Días de conexión de Luz Electrica con MORE ENERGY.%0A%0ACuya Fecha de corte es el día: 27/08/2025</v>
      </c>
      <c r="Q25" s="58"/>
      <c r="R25" s="58"/>
    </row>
    <row r="26" spans="2:22" x14ac:dyDescent="0.25">
      <c r="B26" s="128" t="s">
        <v>297</v>
      </c>
      <c r="C26" s="128" t="s">
        <v>293</v>
      </c>
      <c r="D26" s="124" t="s">
        <v>294</v>
      </c>
      <c r="E26" s="67">
        <v>8322829082</v>
      </c>
      <c r="F26" s="134" t="s">
        <v>295</v>
      </c>
      <c r="G26" s="134"/>
      <c r="H26" s="37" t="s">
        <v>296</v>
      </c>
      <c r="I26" s="39">
        <v>45845</v>
      </c>
      <c r="J26" s="134" t="s">
        <v>46</v>
      </c>
      <c r="K26" s="134" t="s">
        <v>39</v>
      </c>
      <c r="L26" s="39">
        <f t="shared" si="11"/>
        <v>45875</v>
      </c>
      <c r="M26" s="37">
        <f ca="1">L26-$R$7</f>
        <v>-318</v>
      </c>
      <c r="N26" s="128" t="str">
        <f ca="1">IF(M26&lt;=0,$Q$12,IF(M26&lt;=$R$8,$Q$11,$Q$10))</f>
        <v>SIN CONEXIÓN</v>
      </c>
      <c r="O26" s="129" t="str">
        <f t="shared" si="4"/>
        <v>Hola Yoanis Escobar, Recuerda renovar tú contrato de 30 Días de conexión de Luz Electrica con MORE ENERGY.%0A%0ACuya Fecha de corte es el día: 06/08/2025</v>
      </c>
    </row>
    <row r="27" spans="2:22" x14ac:dyDescent="0.25">
      <c r="B27" s="128" t="s">
        <v>288</v>
      </c>
      <c r="C27" s="128" t="s">
        <v>284</v>
      </c>
      <c r="D27" s="124" t="s">
        <v>285</v>
      </c>
      <c r="E27" s="67">
        <v>9566933431</v>
      </c>
      <c r="F27" s="134" t="s">
        <v>286</v>
      </c>
      <c r="G27" s="134"/>
      <c r="H27" s="37" t="s">
        <v>287</v>
      </c>
      <c r="I27" s="39">
        <v>45829</v>
      </c>
      <c r="J27" s="134" t="s">
        <v>46</v>
      </c>
      <c r="K27" s="134" t="s">
        <v>184</v>
      </c>
      <c r="L27" s="39">
        <f t="shared" si="11"/>
        <v>45859</v>
      </c>
      <c r="M27" s="37">
        <f t="shared" ref="M27:M34" ca="1" si="12">L27-$R$7</f>
        <v>-334</v>
      </c>
      <c r="N27" s="128" t="str">
        <f t="shared" ref="N27:N34" ca="1" si="13">IF(M27&lt;=0,$Q$12,IF(M27&lt;=$R$8,$Q$11,$Q$10))</f>
        <v>SIN CONEXIÓN</v>
      </c>
      <c r="O27" s="129" t="str">
        <f t="shared" si="4"/>
        <v>Hola Elizabeth Galván, Recuerda renovar tú contrato de 30 Días de conexión de Luz Electrica con MORE ENERGY.%0A%0ACuya Fecha de corte es el día: 21/07/2025</v>
      </c>
    </row>
    <row r="28" spans="2:22" x14ac:dyDescent="0.25">
      <c r="B28" s="128" t="s">
        <v>283</v>
      </c>
      <c r="C28" s="128" t="s">
        <v>279</v>
      </c>
      <c r="D28" s="124" t="s">
        <v>280</v>
      </c>
      <c r="E28" s="67">
        <v>9567748505</v>
      </c>
      <c r="F28" s="41" t="s">
        <v>281</v>
      </c>
      <c r="G28" s="41"/>
      <c r="H28" s="37" t="s">
        <v>282</v>
      </c>
      <c r="I28" s="39">
        <v>45819</v>
      </c>
      <c r="J28" s="134" t="s">
        <v>46</v>
      </c>
      <c r="K28" s="134" t="s">
        <v>184</v>
      </c>
      <c r="L28" s="39">
        <f t="shared" si="11"/>
        <v>45849</v>
      </c>
      <c r="M28" s="37">
        <f t="shared" ca="1" si="12"/>
        <v>-344</v>
      </c>
      <c r="N28" s="128" t="str">
        <f t="shared" ca="1" si="13"/>
        <v>SIN CONEXIÓN</v>
      </c>
      <c r="O28" s="129" t="str">
        <f t="shared" si="4"/>
        <v>Hola Cecilia Flores, Recuerda renovar tú contrato de 30 Días de conexión de Luz Electrica con MORE ENERGY.%0A%0ACuya Fecha de corte es el día: 11/07/2025</v>
      </c>
    </row>
    <row r="29" spans="2:22" x14ac:dyDescent="0.25">
      <c r="B29" s="128" t="s">
        <v>277</v>
      </c>
      <c r="C29" s="128" t="s">
        <v>273</v>
      </c>
      <c r="D29" s="124" t="s">
        <v>274</v>
      </c>
      <c r="E29" s="67">
        <v>9567939412</v>
      </c>
      <c r="F29" s="134" t="s">
        <v>276</v>
      </c>
      <c r="G29" s="134"/>
      <c r="H29" s="37" t="s">
        <v>275</v>
      </c>
      <c r="I29" s="39">
        <v>45812</v>
      </c>
      <c r="J29" s="134" t="s">
        <v>46</v>
      </c>
      <c r="K29" s="134"/>
      <c r="L29" s="39">
        <f t="shared" si="11"/>
        <v>45842</v>
      </c>
      <c r="M29" s="37">
        <f t="shared" ca="1" si="12"/>
        <v>-351</v>
      </c>
      <c r="N29" s="128" t="str">
        <f t="shared" ca="1" si="13"/>
        <v>SIN CONEXIÓN</v>
      </c>
      <c r="O29" s="129" t="str">
        <f t="shared" si="4"/>
        <v>Hola Noé G Peña , Recuerda renovar tú contrato de 30 Días de conexión de Luz Electrica con MORE ENERGY.%0A%0ACuya Fecha de corte es el día: 04/07/2025</v>
      </c>
    </row>
    <row r="30" spans="2:22" x14ac:dyDescent="0.25">
      <c r="B30" s="128" t="s">
        <v>272</v>
      </c>
      <c r="C30" s="128" t="s">
        <v>268</v>
      </c>
      <c r="D30" s="124" t="s">
        <v>269</v>
      </c>
      <c r="E30" s="67">
        <v>17139020449</v>
      </c>
      <c r="F30" s="134" t="s">
        <v>270</v>
      </c>
      <c r="G30" s="134"/>
      <c r="H30" s="37" t="s">
        <v>271</v>
      </c>
      <c r="I30" s="39">
        <v>45833</v>
      </c>
      <c r="J30" s="134" t="s">
        <v>48</v>
      </c>
      <c r="K30" s="134" t="s">
        <v>260</v>
      </c>
      <c r="L30" s="39">
        <f>I30+30</f>
        <v>45863</v>
      </c>
      <c r="M30" s="37">
        <f t="shared" ca="1" si="12"/>
        <v>-330</v>
      </c>
      <c r="N30" s="128" t="str">
        <f t="shared" ca="1" si="13"/>
        <v>SIN CONEXIÓN</v>
      </c>
      <c r="O30" s="129" t="str">
        <f t="shared" si="4"/>
        <v>Hola Juan Bravo, Recuerda renovar tú contrato de 30 Días de conexión de Luz Electrica con MORE ENERGY.%0A%0ACuya Fecha de corte es el día: 25/07/2025</v>
      </c>
    </row>
    <row r="31" spans="2:22" x14ac:dyDescent="0.25">
      <c r="B31" s="128" t="s">
        <v>145</v>
      </c>
      <c r="C31" s="128" t="s">
        <v>262</v>
      </c>
      <c r="D31" s="124" t="s">
        <v>263</v>
      </c>
      <c r="E31" s="67">
        <v>9564563707</v>
      </c>
      <c r="F31" s="134" t="s">
        <v>265</v>
      </c>
      <c r="G31" s="134"/>
      <c r="H31" s="37" t="s">
        <v>264</v>
      </c>
      <c r="I31" s="39">
        <v>45786</v>
      </c>
      <c r="J31" s="134" t="s">
        <v>46</v>
      </c>
      <c r="K31" s="134" t="s">
        <v>260</v>
      </c>
      <c r="L31" s="39">
        <f>I31+30</f>
        <v>45816</v>
      </c>
      <c r="M31" s="37">
        <f t="shared" ca="1" si="12"/>
        <v>-377</v>
      </c>
      <c r="N31" s="128" t="str">
        <f t="shared" ca="1" si="13"/>
        <v>SIN CONEXIÓN</v>
      </c>
      <c r="O31" s="129" t="str">
        <f t="shared" si="4"/>
        <v>Hola Antonio Gonzalez Jr, Recuerda renovar tú contrato de 30 Días de conexión de Luz Electrica con MORE ENERGY.%0A%0ACuya Fecha de corte es el día: 08/06/2025</v>
      </c>
    </row>
    <row r="32" spans="2:22" x14ac:dyDescent="0.25">
      <c r="B32" s="128" t="s">
        <v>261</v>
      </c>
      <c r="C32" s="128" t="s">
        <v>256</v>
      </c>
      <c r="D32" s="124" t="s">
        <v>257</v>
      </c>
      <c r="E32" s="67">
        <v>9562981392</v>
      </c>
      <c r="F32" s="35" t="s">
        <v>258</v>
      </c>
      <c r="G32" s="134"/>
      <c r="H32" s="37" t="s">
        <v>259</v>
      </c>
      <c r="I32" s="39">
        <v>45782</v>
      </c>
      <c r="J32" s="35" t="s">
        <v>46</v>
      </c>
      <c r="K32" s="35" t="s">
        <v>260</v>
      </c>
      <c r="L32" s="39">
        <f>I32+30</f>
        <v>45812</v>
      </c>
      <c r="M32" s="37">
        <f t="shared" ca="1" si="12"/>
        <v>-381</v>
      </c>
      <c r="N32" s="128" t="str">
        <f t="shared" ca="1" si="13"/>
        <v>SIN CONEXIÓN</v>
      </c>
      <c r="O32" s="129" t="str">
        <f t="shared" si="4"/>
        <v>Hola Araceli Sanchez, Recuerda renovar tú contrato de 30 Días de conexión de Luz Electrica con MORE ENERGY.%0A%0ACuya Fecha de corte es el día: 04/06/2025</v>
      </c>
    </row>
    <row r="33" spans="2:15" x14ac:dyDescent="0.25">
      <c r="B33" s="128" t="s">
        <v>255</v>
      </c>
      <c r="C33" s="128" t="s">
        <v>251</v>
      </c>
      <c r="D33" s="124" t="s">
        <v>252</v>
      </c>
      <c r="E33" s="67">
        <v>3614261375</v>
      </c>
      <c r="F33" s="35" t="s">
        <v>253</v>
      </c>
      <c r="G33" s="134"/>
      <c r="H33" s="37" t="s">
        <v>254</v>
      </c>
      <c r="I33" s="39">
        <v>45779</v>
      </c>
      <c r="J33" s="35" t="s">
        <v>46</v>
      </c>
      <c r="K33" s="35" t="s">
        <v>184</v>
      </c>
      <c r="L33" s="39">
        <f>I33+30</f>
        <v>45809</v>
      </c>
      <c r="M33" s="37">
        <f t="shared" ca="1" si="12"/>
        <v>-384</v>
      </c>
      <c r="N33" s="128" t="str">
        <f t="shared" ca="1" si="13"/>
        <v>SIN CONEXIÓN</v>
      </c>
      <c r="O33" s="129" t="str">
        <f t="shared" si="4"/>
        <v>Hola Julia Prado, Recuerda renovar tú contrato de 30 Días de conexión de Luz Electrica con MORE ENERGY.%0A%0ACuya Fecha de corte es el día: 01/06/2025</v>
      </c>
    </row>
    <row r="34" spans="2:15" x14ac:dyDescent="0.25">
      <c r="B34" s="35" t="s">
        <v>250</v>
      </c>
      <c r="C34" s="35" t="s">
        <v>245</v>
      </c>
      <c r="D34" s="124" t="s">
        <v>246</v>
      </c>
      <c r="E34" s="67" t="s">
        <v>247</v>
      </c>
      <c r="F34" s="35" t="s">
        <v>248</v>
      </c>
      <c r="G34" s="134"/>
      <c r="H34" s="37" t="s">
        <v>249</v>
      </c>
      <c r="I34" s="39">
        <v>45684</v>
      </c>
      <c r="J34" s="35" t="s">
        <v>46</v>
      </c>
      <c r="K34" s="35" t="s">
        <v>184</v>
      </c>
      <c r="L34" s="39">
        <f>I34+30</f>
        <v>45714</v>
      </c>
      <c r="M34" s="37">
        <f t="shared" ca="1" si="12"/>
        <v>-479</v>
      </c>
      <c r="N34" s="35" t="str">
        <f t="shared" ca="1" si="13"/>
        <v>SIN CONEXIÓN</v>
      </c>
      <c r="O34" s="40" t="str">
        <f t="shared" si="4"/>
        <v>Hola Omar Alexander Hernandez, Recuerda renovar tú contrato de 30 Días de conexión de Luz Electrica con MORE ENERGY.%0A%0ACuya Fecha de corte es el día: 26/02/2025</v>
      </c>
    </row>
    <row r="35" spans="2:15" x14ac:dyDescent="0.25">
      <c r="B35" s="35" t="s">
        <v>244</v>
      </c>
      <c r="C35" s="35" t="s">
        <v>239</v>
      </c>
      <c r="D35" s="124" t="s">
        <v>240</v>
      </c>
      <c r="E35" s="67" t="s">
        <v>241</v>
      </c>
      <c r="F35" s="35" t="s">
        <v>242</v>
      </c>
      <c r="G35" s="134"/>
      <c r="H35" s="37" t="s">
        <v>243</v>
      </c>
      <c r="I35" s="39">
        <v>45663</v>
      </c>
      <c r="J35" s="35" t="s">
        <v>46</v>
      </c>
      <c r="K35" s="35" t="s">
        <v>184</v>
      </c>
      <c r="L35" s="39">
        <f t="shared" ref="L35:L42" si="14">I35+30</f>
        <v>45693</v>
      </c>
      <c r="M35" s="37">
        <f t="shared" ref="M35:M42" ca="1" si="15">L35-$R$7</f>
        <v>-500</v>
      </c>
      <c r="N35" s="35" t="str">
        <f t="shared" ref="N35:N42" ca="1" si="16">IF(M35&lt;=0,$Q$12,IF(M35&lt;=$R$8,$Q$11,$Q$10))</f>
        <v>SIN CONEXIÓN</v>
      </c>
      <c r="O35" s="40" t="str">
        <f t="shared" si="4"/>
        <v>Hola Edgar Rosales, Recuerda renovar tú contrato de 30 Días de conexión de Luz Electrica con MORE ENERGY.%0A%0ACuya Fecha de corte es el día: 05/02/2025</v>
      </c>
    </row>
    <row r="36" spans="2:15" x14ac:dyDescent="0.25">
      <c r="B36" s="35" t="s">
        <v>238</v>
      </c>
      <c r="C36" s="35" t="s">
        <v>233</v>
      </c>
      <c r="D36" s="124" t="s">
        <v>234</v>
      </c>
      <c r="E36" s="67" t="s">
        <v>235</v>
      </c>
      <c r="F36" s="35" t="s">
        <v>236</v>
      </c>
      <c r="G36" s="134"/>
      <c r="H36" s="37" t="s">
        <v>237</v>
      </c>
      <c r="I36" s="39">
        <v>45663</v>
      </c>
      <c r="J36" s="35" t="s">
        <v>46</v>
      </c>
      <c r="K36" s="35" t="s">
        <v>39</v>
      </c>
      <c r="L36" s="39">
        <f t="shared" si="14"/>
        <v>45693</v>
      </c>
      <c r="M36" s="37">
        <f t="shared" ca="1" si="15"/>
        <v>-500</v>
      </c>
      <c r="N36" s="35" t="str">
        <f t="shared" ca="1" si="16"/>
        <v>SIN CONEXIÓN</v>
      </c>
      <c r="O36" s="40" t="str">
        <f t="shared" si="4"/>
        <v>Hola Wendy Tellez, Recuerda renovar tú contrato de 30 Días de conexión de Luz Electrica con MORE ENERGY.%0A%0ACuya Fecha de corte es el día: 05/02/2025</v>
      </c>
    </row>
    <row r="37" spans="2:15" x14ac:dyDescent="0.25">
      <c r="B37" s="35" t="s">
        <v>232</v>
      </c>
      <c r="C37" s="35" t="s">
        <v>228</v>
      </c>
      <c r="D37" s="124" t="s">
        <v>229</v>
      </c>
      <c r="E37" s="67">
        <v>2149002337</v>
      </c>
      <c r="F37" s="35" t="s">
        <v>230</v>
      </c>
      <c r="G37" s="134"/>
      <c r="H37" s="37" t="s">
        <v>231</v>
      </c>
      <c r="I37" s="39">
        <v>45663</v>
      </c>
      <c r="J37" s="35" t="s">
        <v>47</v>
      </c>
      <c r="K37" s="35" t="s">
        <v>39</v>
      </c>
      <c r="L37" s="39">
        <f t="shared" si="14"/>
        <v>45693</v>
      </c>
      <c r="M37" s="37">
        <f t="shared" ca="1" si="15"/>
        <v>-500</v>
      </c>
      <c r="N37" s="35" t="str">
        <f t="shared" ca="1" si="16"/>
        <v>SIN CONEXIÓN</v>
      </c>
      <c r="O37" s="40" t="str">
        <f t="shared" si="4"/>
        <v>Hola Lady Medina Rojas, Recuerda renovar tú contrato de 30 Días de conexión de Luz Electrica con MORE ENERGY.%0A%0ACuya Fecha de corte es el día: 05/02/2025</v>
      </c>
    </row>
    <row r="38" spans="2:15" x14ac:dyDescent="0.25">
      <c r="B38" s="35" t="s">
        <v>227</v>
      </c>
      <c r="C38" s="35" t="s">
        <v>223</v>
      </c>
      <c r="D38" s="124" t="s">
        <v>224</v>
      </c>
      <c r="E38" s="67"/>
      <c r="F38" s="35" t="s">
        <v>226</v>
      </c>
      <c r="G38" s="134"/>
      <c r="H38" s="37" t="s">
        <v>225</v>
      </c>
      <c r="I38" s="39">
        <v>45654</v>
      </c>
      <c r="J38" s="35" t="s">
        <v>46</v>
      </c>
      <c r="K38" s="35"/>
      <c r="L38" s="39">
        <f t="shared" si="14"/>
        <v>45684</v>
      </c>
      <c r="M38" s="37">
        <f t="shared" ca="1" si="15"/>
        <v>-509</v>
      </c>
      <c r="N38" s="35" t="str">
        <f t="shared" ca="1" si="16"/>
        <v>SIN CONEXIÓN</v>
      </c>
      <c r="O38" s="40" t="str">
        <f t="shared" si="4"/>
        <v>Hola Rosy Vasquez, Recuerda renovar tú contrato de 30 Días de conexión de Luz Electrica con MORE ENERGY.%0A%0ACuya Fecha de corte es el día: 27/01/2025</v>
      </c>
    </row>
    <row r="39" spans="2:15" x14ac:dyDescent="0.25">
      <c r="B39" s="35" t="s">
        <v>222</v>
      </c>
      <c r="C39" s="35" t="s">
        <v>218</v>
      </c>
      <c r="D39" s="124" t="s">
        <v>219</v>
      </c>
      <c r="E39" s="67">
        <v>2149448760</v>
      </c>
      <c r="F39" s="35" t="s">
        <v>220</v>
      </c>
      <c r="G39" s="134"/>
      <c r="H39" s="37" t="s">
        <v>221</v>
      </c>
      <c r="I39" s="39">
        <v>45684</v>
      </c>
      <c r="J39" s="35" t="s">
        <v>46</v>
      </c>
      <c r="K39" s="35" t="s">
        <v>39</v>
      </c>
      <c r="L39" s="39">
        <f t="shared" si="14"/>
        <v>45714</v>
      </c>
      <c r="M39" s="37">
        <f t="shared" ca="1" si="15"/>
        <v>-479</v>
      </c>
      <c r="N39" s="35" t="str">
        <f t="shared" ca="1" si="16"/>
        <v>SIN CONEXIÓN</v>
      </c>
      <c r="O39" s="40" t="str">
        <f t="shared" si="4"/>
        <v>Hola Sindy Marcela Velasco, Recuerda renovar tú contrato de 30 Días de conexión de Luz Electrica con MORE ENERGY.%0A%0ACuya Fecha de corte es el día: 26/02/2025</v>
      </c>
    </row>
    <row r="40" spans="2:15" x14ac:dyDescent="0.25">
      <c r="B40" s="35" t="s">
        <v>217</v>
      </c>
      <c r="C40" s="35" t="s">
        <v>213</v>
      </c>
      <c r="D40" s="124" t="s">
        <v>214</v>
      </c>
      <c r="E40" s="67">
        <v>6824336183</v>
      </c>
      <c r="F40" s="35" t="s">
        <v>215</v>
      </c>
      <c r="G40" s="134"/>
      <c r="H40" s="37" t="s">
        <v>216</v>
      </c>
      <c r="I40" s="39">
        <v>45610</v>
      </c>
      <c r="J40" s="35" t="s">
        <v>46</v>
      </c>
      <c r="K40" s="35" t="s">
        <v>39</v>
      </c>
      <c r="L40" s="39">
        <f t="shared" si="14"/>
        <v>45640</v>
      </c>
      <c r="M40" s="37">
        <f t="shared" ca="1" si="15"/>
        <v>-553</v>
      </c>
      <c r="N40" s="35" t="str">
        <f t="shared" ca="1" si="16"/>
        <v>SIN CONEXIÓN</v>
      </c>
      <c r="O40" s="40" t="str">
        <f t="shared" si="4"/>
        <v>Hola Angel Fuentes, Recuerda renovar tú contrato de 30 Días de conexión de Luz Electrica con MORE ENERGY.%0A%0ACuya Fecha de corte es el día: 14/12/2024</v>
      </c>
    </row>
    <row r="41" spans="2:15" x14ac:dyDescent="0.25">
      <c r="B41" s="35" t="s">
        <v>208</v>
      </c>
      <c r="C41" s="35" t="s">
        <v>209</v>
      </c>
      <c r="D41" s="124" t="s">
        <v>210</v>
      </c>
      <c r="E41" s="67">
        <v>2544054864</v>
      </c>
      <c r="F41" s="35" t="s">
        <v>207</v>
      </c>
      <c r="G41" s="134"/>
      <c r="H41" s="37" t="s">
        <v>206</v>
      </c>
      <c r="I41" s="39">
        <v>45563</v>
      </c>
      <c r="J41" s="35" t="s">
        <v>46</v>
      </c>
      <c r="K41" s="35" t="s">
        <v>39</v>
      </c>
      <c r="L41" s="39">
        <f t="shared" si="14"/>
        <v>45593</v>
      </c>
      <c r="M41" s="37">
        <f t="shared" ca="1" si="15"/>
        <v>-600</v>
      </c>
      <c r="N41" s="35" t="str">
        <f t="shared" ca="1" si="16"/>
        <v>SIN CONEXIÓN</v>
      </c>
      <c r="O41" s="40" t="str">
        <f t="shared" si="4"/>
        <v>Hola María Hernández , Recuerda renovar tú contrato de 30 Días de conexión de Luz Electrica con MORE ENERGY.%0A%0ACuya Fecha de corte es el día: 28/10/2024</v>
      </c>
    </row>
    <row r="42" spans="2:15" x14ac:dyDescent="0.25">
      <c r="B42" s="35" t="s">
        <v>205</v>
      </c>
      <c r="C42" s="35" t="s">
        <v>201</v>
      </c>
      <c r="D42" s="124" t="s">
        <v>202</v>
      </c>
      <c r="E42" s="67">
        <v>8323841082</v>
      </c>
      <c r="F42" s="35" t="s">
        <v>203</v>
      </c>
      <c r="G42" s="134"/>
      <c r="H42" s="37" t="s">
        <v>204</v>
      </c>
      <c r="I42" s="39">
        <v>45555</v>
      </c>
      <c r="J42" s="35" t="s">
        <v>46</v>
      </c>
      <c r="K42" s="35" t="s">
        <v>39</v>
      </c>
      <c r="L42" s="39">
        <f t="shared" si="14"/>
        <v>45585</v>
      </c>
      <c r="M42" s="37">
        <f t="shared" ca="1" si="15"/>
        <v>-608</v>
      </c>
      <c r="N42" s="35" t="str">
        <f t="shared" ca="1" si="16"/>
        <v>SIN CONEXIÓN</v>
      </c>
      <c r="O42" s="40" t="str">
        <f t="shared" si="4"/>
        <v>Hola Aleyda Bonilla, Recuerda renovar tú contrato de 30 Días de conexión de Luz Electrica con MORE ENERGY.%0A%0ACuya Fecha de corte es el día: 20/10/2024</v>
      </c>
    </row>
    <row r="43" spans="2:15" x14ac:dyDescent="0.25">
      <c r="B43" s="35" t="s">
        <v>200</v>
      </c>
      <c r="C43" s="35" t="s">
        <v>196</v>
      </c>
      <c r="D43" s="124" t="s">
        <v>197</v>
      </c>
      <c r="E43" s="67">
        <v>565169459</v>
      </c>
      <c r="F43" s="41" t="s">
        <v>198</v>
      </c>
      <c r="G43" s="41"/>
      <c r="H43" s="37" t="s">
        <v>199</v>
      </c>
      <c r="I43" s="39">
        <v>45551</v>
      </c>
      <c r="J43" s="35" t="s">
        <v>46</v>
      </c>
      <c r="K43" s="35" t="s">
        <v>39</v>
      </c>
      <c r="L43" s="39">
        <f t="shared" ref="L43:L48" si="17">I43+30</f>
        <v>45581</v>
      </c>
      <c r="M43" s="37">
        <f t="shared" ref="M43:M48" ca="1" si="18">L43-$R$7</f>
        <v>-612</v>
      </c>
      <c r="N43" s="35" t="str">
        <f t="shared" ref="N43:N48" ca="1" si="19">IF(M43&lt;=0,$Q$12,IF(M43&lt;=$R$8,$Q$11,$Q$10))</f>
        <v>SIN CONEXIÓN</v>
      </c>
      <c r="O43" s="40" t="str">
        <f t="shared" si="4"/>
        <v>Hola Joanna Elizabeth Chavez , Recuerda renovar tú contrato de 30 Días de conexión de Luz Electrica con MORE ENERGY.%0A%0ACuya Fecha de corte es el día: 16/10/2024</v>
      </c>
    </row>
    <row r="44" spans="2:15" x14ac:dyDescent="0.25">
      <c r="B44" s="35" t="s">
        <v>195</v>
      </c>
      <c r="C44" s="35" t="s">
        <v>191</v>
      </c>
      <c r="D44" s="124" t="s">
        <v>192</v>
      </c>
      <c r="E44" s="67">
        <v>9794182614</v>
      </c>
      <c r="F44" s="41" t="s">
        <v>193</v>
      </c>
      <c r="G44" s="41"/>
      <c r="H44" s="37" t="s">
        <v>194</v>
      </c>
      <c r="I44" s="39">
        <v>45539</v>
      </c>
      <c r="J44" s="35" t="s">
        <v>46</v>
      </c>
      <c r="K44" s="35" t="s">
        <v>39</v>
      </c>
      <c r="L44" s="39">
        <f t="shared" si="17"/>
        <v>45569</v>
      </c>
      <c r="M44" s="37">
        <f t="shared" ca="1" si="18"/>
        <v>-624</v>
      </c>
      <c r="N44" s="35" t="str">
        <f t="shared" ca="1" si="19"/>
        <v>SIN CONEXIÓN</v>
      </c>
      <c r="O44" s="40" t="str">
        <f t="shared" si="4"/>
        <v>Hola Fernando Hernandez, Recuerda renovar tú contrato de 30 Días de conexión de Luz Electrica con MORE ENERGY.%0A%0ACuya Fecha de corte es el día: 04/10/2024</v>
      </c>
    </row>
    <row r="45" spans="2:15" x14ac:dyDescent="0.25">
      <c r="B45" s="35" t="s">
        <v>189</v>
      </c>
      <c r="C45" s="35" t="s">
        <v>190</v>
      </c>
      <c r="D45" s="124" t="s">
        <v>186</v>
      </c>
      <c r="E45" s="67">
        <v>9569964204</v>
      </c>
      <c r="F45" s="41" t="s">
        <v>187</v>
      </c>
      <c r="G45" s="41"/>
      <c r="H45" s="37" t="s">
        <v>188</v>
      </c>
      <c r="I45" s="39">
        <v>45526</v>
      </c>
      <c r="J45" s="35" t="s">
        <v>46</v>
      </c>
      <c r="K45" s="35" t="s">
        <v>184</v>
      </c>
      <c r="L45" s="39">
        <f t="shared" si="17"/>
        <v>45556</v>
      </c>
      <c r="M45" s="37">
        <f t="shared" ca="1" si="18"/>
        <v>-637</v>
      </c>
      <c r="N45" s="35" t="str">
        <f t="shared" ca="1" si="19"/>
        <v>SIN CONEXIÓN</v>
      </c>
      <c r="O45" s="40" t="str">
        <f t="shared" si="4"/>
        <v>Hola Jennifer Garza, Recuerda renovar tú contrato de 30 Días de conexión de Luz Electrica con MORE ENERGY.%0A%0ACuya Fecha de corte es el día: 21/09/2024</v>
      </c>
    </row>
    <row r="46" spans="2:15" x14ac:dyDescent="0.25">
      <c r="B46" s="35" t="s">
        <v>185</v>
      </c>
      <c r="C46" s="35" t="s">
        <v>180</v>
      </c>
      <c r="D46" s="124" t="s">
        <v>181</v>
      </c>
      <c r="E46" s="67">
        <v>9567669218</v>
      </c>
      <c r="F46" s="41" t="s">
        <v>182</v>
      </c>
      <c r="G46" s="41"/>
      <c r="H46" s="37" t="s">
        <v>183</v>
      </c>
      <c r="I46" s="39">
        <v>45530</v>
      </c>
      <c r="J46" s="35" t="s">
        <v>46</v>
      </c>
      <c r="K46" s="35" t="s">
        <v>184</v>
      </c>
      <c r="L46" s="39">
        <f t="shared" si="17"/>
        <v>45560</v>
      </c>
      <c r="M46" s="37">
        <f t="shared" ca="1" si="18"/>
        <v>-633</v>
      </c>
      <c r="N46" s="35" t="str">
        <f t="shared" ca="1" si="19"/>
        <v>SIN CONEXIÓN</v>
      </c>
      <c r="O46" s="40" t="str">
        <f t="shared" si="4"/>
        <v>Hola Rosalba Anaya Rios, Recuerda renovar tú contrato de 30 Días de conexión de Luz Electrica con MORE ENERGY.%0A%0ACuya Fecha de corte es el día: 25/09/2024</v>
      </c>
    </row>
    <row r="47" spans="2:15" x14ac:dyDescent="0.25">
      <c r="B47" s="35" t="s">
        <v>179</v>
      </c>
      <c r="C47" s="35" t="s">
        <v>175</v>
      </c>
      <c r="D47" s="124" t="s">
        <v>176</v>
      </c>
      <c r="E47" s="67">
        <v>3462037647</v>
      </c>
      <c r="F47" s="41" t="s">
        <v>177</v>
      </c>
      <c r="G47" s="41"/>
      <c r="H47" s="37" t="s">
        <v>178</v>
      </c>
      <c r="I47" s="39">
        <v>45527</v>
      </c>
      <c r="J47" s="35" t="s">
        <v>46</v>
      </c>
      <c r="K47" s="35" t="s">
        <v>39</v>
      </c>
      <c r="L47" s="39">
        <f t="shared" si="17"/>
        <v>45557</v>
      </c>
      <c r="M47" s="37">
        <f t="shared" ca="1" si="18"/>
        <v>-636</v>
      </c>
      <c r="N47" s="35" t="str">
        <f t="shared" ca="1" si="19"/>
        <v>SIN CONEXIÓN</v>
      </c>
      <c r="O47" s="40" t="str">
        <f t="shared" si="4"/>
        <v>Hola Nathalie Hernandez, Recuerda renovar tú contrato de 30 Días de conexión de Luz Electrica con MORE ENERGY.%0A%0ACuya Fecha de corte es el día: 22/09/2024</v>
      </c>
    </row>
    <row r="48" spans="2:15" x14ac:dyDescent="0.25">
      <c r="B48" s="35" t="s">
        <v>174</v>
      </c>
      <c r="C48" s="35" t="s">
        <v>170</v>
      </c>
      <c r="D48" s="124" t="s">
        <v>171</v>
      </c>
      <c r="E48" s="67">
        <v>8326380034</v>
      </c>
      <c r="F48" s="35" t="s">
        <v>172</v>
      </c>
      <c r="G48" s="134"/>
      <c r="H48" s="37" t="s">
        <v>173</v>
      </c>
      <c r="I48" s="39">
        <v>45473</v>
      </c>
      <c r="J48" s="35" t="s">
        <v>46</v>
      </c>
      <c r="K48" s="35" t="s">
        <v>39</v>
      </c>
      <c r="L48" s="39">
        <f t="shared" si="17"/>
        <v>45503</v>
      </c>
      <c r="M48" s="37">
        <f t="shared" ca="1" si="18"/>
        <v>-690</v>
      </c>
      <c r="N48" s="35" t="str">
        <f t="shared" ca="1" si="19"/>
        <v>SIN CONEXIÓN</v>
      </c>
      <c r="O48" s="40" t="str">
        <f t="shared" si="4"/>
        <v>Hola Edgar Ordoñez, Recuerda renovar tú contrato de 30 Días de conexión de Luz Electrica con MORE ENERGY.%0A%0ACuya Fecha de corte es el día: 30/07/2024</v>
      </c>
    </row>
    <row r="49" spans="2:15" x14ac:dyDescent="0.25">
      <c r="B49" s="35" t="s">
        <v>169</v>
      </c>
      <c r="C49" s="35" t="s">
        <v>165</v>
      </c>
      <c r="D49" s="124" t="s">
        <v>166</v>
      </c>
      <c r="E49" s="67">
        <v>8325783608</v>
      </c>
      <c r="F49" s="41" t="s">
        <v>167</v>
      </c>
      <c r="G49" s="41"/>
      <c r="H49" s="37" t="s">
        <v>168</v>
      </c>
      <c r="I49" s="39">
        <v>45468</v>
      </c>
      <c r="J49" s="35" t="s">
        <v>46</v>
      </c>
      <c r="K49" s="35" t="s">
        <v>39</v>
      </c>
      <c r="L49" s="39">
        <f t="shared" ref="L49:L54" si="20">I49+30</f>
        <v>45498</v>
      </c>
      <c r="M49" s="37">
        <f t="shared" ref="M49:M54" ca="1" si="21">L49-$R$7</f>
        <v>-695</v>
      </c>
      <c r="N49" s="35" t="str">
        <f t="shared" ref="N49:N54" ca="1" si="22">IF(M49&lt;=0,$Q$12,IF(M49&lt;=$R$8,$Q$11,$Q$10))</f>
        <v>SIN CONEXIÓN</v>
      </c>
      <c r="O49" s="40" t="str">
        <f t="shared" si="4"/>
        <v>Hola Dolores Castillo Zavala, Recuerda renovar tú contrato de 30 Días de conexión de Luz Electrica con MORE ENERGY.%0A%0ACuya Fecha de corte es el día: 25/07/2024</v>
      </c>
    </row>
    <row r="50" spans="2:15" x14ac:dyDescent="0.25">
      <c r="B50" s="35" t="s">
        <v>164</v>
      </c>
      <c r="C50" s="35" t="s">
        <v>160</v>
      </c>
      <c r="D50" s="124" t="s">
        <v>161</v>
      </c>
      <c r="E50" s="67">
        <v>9564510782</v>
      </c>
      <c r="F50" s="41" t="s">
        <v>162</v>
      </c>
      <c r="G50" s="41"/>
      <c r="H50" s="37" t="s">
        <v>163</v>
      </c>
      <c r="I50" s="39">
        <v>45054</v>
      </c>
      <c r="K50" s="35" t="s">
        <v>38</v>
      </c>
      <c r="L50" s="39">
        <f t="shared" si="20"/>
        <v>45084</v>
      </c>
      <c r="M50" s="37">
        <f t="shared" ca="1" si="21"/>
        <v>-1109</v>
      </c>
      <c r="N50" s="35" t="str">
        <f t="shared" ca="1" si="22"/>
        <v>SIN CONEXIÓN</v>
      </c>
      <c r="O50" s="40" t="str">
        <f t="shared" si="4"/>
        <v>Hola Alexa Reyes, Recuerda renovar tú contrato de 30 Días de conexión de Luz Electrica con MORE ENERGY.%0A%0ACuya Fecha de corte es el día: 07/06/2023</v>
      </c>
    </row>
    <row r="51" spans="2:15" x14ac:dyDescent="0.25">
      <c r="B51" s="35" t="s">
        <v>159</v>
      </c>
      <c r="C51" s="35" t="s">
        <v>97</v>
      </c>
      <c r="D51" s="124" t="s">
        <v>156</v>
      </c>
      <c r="E51" s="67">
        <v>9562935023</v>
      </c>
      <c r="F51" s="35" t="s">
        <v>157</v>
      </c>
      <c r="G51" s="134"/>
      <c r="H51" s="37" t="s">
        <v>158</v>
      </c>
      <c r="I51" s="39">
        <v>45026</v>
      </c>
      <c r="J51" s="35" t="s">
        <v>46</v>
      </c>
      <c r="K51" s="35" t="s">
        <v>39</v>
      </c>
      <c r="L51" s="39">
        <f t="shared" si="20"/>
        <v>45056</v>
      </c>
      <c r="M51" s="37">
        <f t="shared" ca="1" si="21"/>
        <v>-1137</v>
      </c>
      <c r="N51" s="35" t="str">
        <f t="shared" ca="1" si="22"/>
        <v>SIN CONEXIÓN</v>
      </c>
      <c r="O51" s="40" t="str">
        <f t="shared" si="4"/>
        <v>Hola Gerardo Gonzales, Recuerda renovar tú contrato de 30 Días de conexión de Luz Electrica con MORE ENERGY.%0A%0ACuya Fecha de corte es el día: 10/05/2023</v>
      </c>
    </row>
    <row r="52" spans="2:15" x14ac:dyDescent="0.25">
      <c r="B52" s="35" t="s">
        <v>155</v>
      </c>
      <c r="C52" s="35" t="s">
        <v>151</v>
      </c>
      <c r="D52" s="124" t="s">
        <v>152</v>
      </c>
      <c r="E52" s="67">
        <v>8174123545</v>
      </c>
      <c r="F52" s="41" t="s">
        <v>153</v>
      </c>
      <c r="G52" s="41"/>
      <c r="H52" s="37" t="s">
        <v>154</v>
      </c>
      <c r="I52" s="39">
        <v>45016</v>
      </c>
      <c r="J52" s="35" t="s">
        <v>46</v>
      </c>
      <c r="K52" s="35" t="s">
        <v>39</v>
      </c>
      <c r="L52" s="39">
        <f t="shared" si="20"/>
        <v>45046</v>
      </c>
      <c r="M52" s="37">
        <f t="shared" ca="1" si="21"/>
        <v>-1147</v>
      </c>
      <c r="N52" s="35" t="str">
        <f t="shared" ca="1" si="22"/>
        <v>SIN CONEXIÓN</v>
      </c>
      <c r="O52" s="40" t="str">
        <f t="shared" si="4"/>
        <v>Hola Victor Castro, Recuerda renovar tú contrato de 30 Días de conexión de Luz Electrica con MORE ENERGY.%0A%0ACuya Fecha de corte es el día: 30/04/2023</v>
      </c>
    </row>
    <row r="53" spans="2:15" x14ac:dyDescent="0.25">
      <c r="B53" s="35" t="s">
        <v>150</v>
      </c>
      <c r="C53" s="35" t="s">
        <v>146</v>
      </c>
      <c r="D53" s="124" t="s">
        <v>147</v>
      </c>
      <c r="E53" s="67">
        <v>18329490810</v>
      </c>
      <c r="F53" s="41" t="s">
        <v>148</v>
      </c>
      <c r="G53" s="41"/>
      <c r="H53" s="37" t="s">
        <v>149</v>
      </c>
      <c r="I53" s="39">
        <v>45015</v>
      </c>
      <c r="K53" s="35" t="s">
        <v>39</v>
      </c>
      <c r="L53" s="39">
        <f t="shared" si="20"/>
        <v>45045</v>
      </c>
      <c r="M53" s="37">
        <f t="shared" ca="1" si="21"/>
        <v>-1148</v>
      </c>
      <c r="N53" s="35" t="str">
        <f t="shared" ca="1" si="22"/>
        <v>SIN CONEXIÓN</v>
      </c>
      <c r="O53" s="40" t="str">
        <f t="shared" si="4"/>
        <v>Hola Jose Martinez, Recuerda renovar tú contrato de 30 Días de conexión de Luz Electrica con MORE ENERGY.%0A%0ACuya Fecha de corte es el día: 29/04/2023</v>
      </c>
    </row>
    <row r="54" spans="2:15" x14ac:dyDescent="0.25">
      <c r="B54" s="35" t="s">
        <v>145</v>
      </c>
      <c r="C54" s="35" t="s">
        <v>141</v>
      </c>
      <c r="D54" s="124" t="s">
        <v>142</v>
      </c>
      <c r="E54" s="67">
        <v>8328961420</v>
      </c>
      <c r="F54" s="41" t="s">
        <v>143</v>
      </c>
      <c r="G54" s="41"/>
      <c r="H54" s="37" t="s">
        <v>144</v>
      </c>
      <c r="I54" s="39">
        <v>45364</v>
      </c>
      <c r="J54" s="35" t="s">
        <v>46</v>
      </c>
      <c r="K54" s="35" t="s">
        <v>38</v>
      </c>
      <c r="L54" s="39">
        <f t="shared" si="20"/>
        <v>45394</v>
      </c>
      <c r="M54" s="37">
        <f t="shared" ca="1" si="21"/>
        <v>-799</v>
      </c>
      <c r="N54" s="35" t="str">
        <f t="shared" ca="1" si="22"/>
        <v>SIN CONEXIÓN</v>
      </c>
      <c r="O54" s="40" t="str">
        <f t="shared" si="4"/>
        <v>Hola Ariel Gonzalez Garcia, Recuerda renovar tú contrato de 30 Días de conexión de Luz Electrica con MORE ENERGY.%0A%0ACuya Fecha de corte es el día: 12/04/2024</v>
      </c>
    </row>
    <row r="55" spans="2:15" x14ac:dyDescent="0.25">
      <c r="B55" s="35" t="s">
        <v>82</v>
      </c>
      <c r="C55" s="35" t="s">
        <v>78</v>
      </c>
      <c r="D55" s="124" t="s">
        <v>79</v>
      </c>
      <c r="E55" s="67">
        <v>2816233402</v>
      </c>
      <c r="F55" s="41" t="s">
        <v>80</v>
      </c>
      <c r="G55" s="41"/>
      <c r="H55" s="37" t="s">
        <v>81</v>
      </c>
      <c r="I55" s="71">
        <v>45369</v>
      </c>
      <c r="J55" s="35" t="s">
        <v>46</v>
      </c>
      <c r="K55" s="35" t="s">
        <v>39</v>
      </c>
      <c r="L55" s="39">
        <f>I55+30</f>
        <v>45399</v>
      </c>
      <c r="M55" s="37">
        <f ca="1">L55-$R$7</f>
        <v>-794</v>
      </c>
      <c r="N55" s="35" t="str">
        <f ca="1">IF(M55&lt;=0,$Q$12,IF(M55&lt;=$R$8,$Q$11,$Q$10))</f>
        <v>SIN CONEXIÓN</v>
      </c>
      <c r="O55" s="40" t="str">
        <f t="shared" si="4"/>
        <v>Hola Yris Rosa Rodriguez, Recuerda renovar tú contrato de 30 Días de conexión de Luz Electrica con MORE ENERGY.%0A%0ACuya Fecha de corte es el día: 17/04/2024</v>
      </c>
    </row>
    <row r="56" spans="2:15" x14ac:dyDescent="0.25">
      <c r="E56" s="67"/>
      <c r="F56" s="41"/>
    </row>
    <row r="57" spans="2:15" x14ac:dyDescent="0.25">
      <c r="E57" s="67"/>
    </row>
    <row r="58" spans="2:15" x14ac:dyDescent="0.25">
      <c r="E58" s="67"/>
      <c r="F58" s="41"/>
    </row>
    <row r="59" spans="2:15" x14ac:dyDescent="0.25">
      <c r="E59" s="67"/>
      <c r="F59" s="41"/>
    </row>
    <row r="60" spans="2:15" x14ac:dyDescent="0.25">
      <c r="E60" s="67"/>
    </row>
    <row r="61" spans="2:15" x14ac:dyDescent="0.25">
      <c r="E61" s="67"/>
      <c r="F61" s="41"/>
    </row>
    <row r="62" spans="2:15" x14ac:dyDescent="0.25">
      <c r="E62" s="67"/>
      <c r="F62" s="41"/>
    </row>
    <row r="63" spans="2:15" x14ac:dyDescent="0.25">
      <c r="B63" s="58"/>
      <c r="C63" s="58"/>
      <c r="D63" s="125"/>
      <c r="E63" s="59"/>
      <c r="F63" s="60"/>
      <c r="G63" s="61"/>
      <c r="H63" s="61"/>
      <c r="I63" s="58"/>
      <c r="J63" s="58"/>
      <c r="K63" s="62"/>
      <c r="L63" s="61"/>
      <c r="M63" s="61"/>
      <c r="N63" s="63"/>
    </row>
    <row r="64" spans="2:15" x14ac:dyDescent="0.25">
      <c r="B64" s="58"/>
      <c r="C64" s="58"/>
      <c r="D64" s="125"/>
      <c r="E64" s="59"/>
      <c r="F64" s="60"/>
      <c r="G64" s="61"/>
      <c r="H64" s="61"/>
      <c r="I64" s="58"/>
      <c r="J64" s="58"/>
      <c r="K64" s="62"/>
      <c r="L64" s="61"/>
      <c r="M64" s="61"/>
      <c r="N64" s="63"/>
    </row>
    <row r="65" spans="2:14" x14ac:dyDescent="0.25">
      <c r="B65" s="58"/>
      <c r="C65" s="58"/>
      <c r="D65" s="125"/>
      <c r="E65" s="59"/>
      <c r="F65" s="60"/>
      <c r="G65" s="61"/>
      <c r="H65" s="61"/>
      <c r="I65" s="58"/>
      <c r="J65" s="58"/>
      <c r="K65" s="62"/>
      <c r="L65" s="61"/>
      <c r="M65" s="61"/>
      <c r="N65" s="63"/>
    </row>
    <row r="66" spans="2:14" x14ac:dyDescent="0.25">
      <c r="F66" s="41"/>
    </row>
    <row r="67" spans="2:14" x14ac:dyDescent="0.25">
      <c r="B67" s="58"/>
      <c r="C67" s="58"/>
      <c r="D67" s="125"/>
      <c r="E67" s="59"/>
      <c r="F67" s="60"/>
      <c r="G67" s="61"/>
      <c r="H67" s="61"/>
      <c r="I67" s="58"/>
      <c r="J67" s="58"/>
      <c r="K67" s="62"/>
      <c r="L67" s="61"/>
      <c r="M67" s="61"/>
      <c r="N67" s="63"/>
    </row>
    <row r="68" spans="2:14" x14ac:dyDescent="0.25">
      <c r="B68" s="58"/>
      <c r="C68" s="58"/>
      <c r="D68" s="125"/>
      <c r="E68" s="59"/>
      <c r="F68" s="60"/>
      <c r="G68" s="61"/>
      <c r="H68" s="61"/>
      <c r="I68" s="58"/>
      <c r="J68" s="58"/>
      <c r="K68" s="62"/>
      <c r="L68" s="61"/>
      <c r="M68" s="61"/>
      <c r="N68" s="63"/>
    </row>
    <row r="69" spans="2:14" x14ac:dyDescent="0.25">
      <c r="B69" s="58"/>
      <c r="C69" s="58"/>
      <c r="D69" s="125"/>
      <c r="E69" s="59"/>
      <c r="F69" s="60"/>
      <c r="G69" s="61"/>
      <c r="H69" s="61"/>
      <c r="I69" s="58"/>
      <c r="J69" s="58"/>
      <c r="K69" s="62"/>
      <c r="L69" s="61"/>
      <c r="M69" s="61"/>
      <c r="N69" s="63"/>
    </row>
    <row r="70" spans="2:14" x14ac:dyDescent="0.25">
      <c r="B70" s="42" t="e">
        <v>#VALUE!</v>
      </c>
      <c r="C70" s="42"/>
      <c r="D70" s="126"/>
      <c r="E70" s="43"/>
      <c r="F70" s="42"/>
      <c r="G70" s="44"/>
      <c r="H70" s="44">
        <f ca="1">TODAY()</f>
        <v>46193</v>
      </c>
      <c r="I70" s="42" t="s">
        <v>62</v>
      </c>
      <c r="J70" s="42"/>
      <c r="K70" s="45">
        <f ca="1">H70+30</f>
        <v>46223</v>
      </c>
      <c r="L70" s="44">
        <f ca="1">K70-$R$7</f>
        <v>30</v>
      </c>
      <c r="M70" s="44"/>
      <c r="N70" s="46" t="str">
        <f ca="1">"Hola "&amp;C70&amp;", Recuerda renovar tú contrato de 30 Días de conexión de Luz Electrica."&amp;"%0A%0A"&amp;"Cuya Fecha de corte es el día: "&amp;TEXT(K70,"dd/mm/yyyy")</f>
        <v>Hola , Recuerda renovar tú contrato de 30 Días de conexión de Luz Electrica.%0A%0ACuya Fecha de corte es el día: 20/07/2026</v>
      </c>
    </row>
    <row r="76" spans="2:14" x14ac:dyDescent="0.25">
      <c r="J76" s="35" t="s">
        <v>62</v>
      </c>
      <c r="K76" s="39" t="s">
        <v>62</v>
      </c>
    </row>
  </sheetData>
  <mergeCells count="8">
    <mergeCell ref="Q9:R9"/>
    <mergeCell ref="Q10:R10"/>
    <mergeCell ref="Q11:R11"/>
    <mergeCell ref="Q12:R12"/>
    <mergeCell ref="T6:U6"/>
    <mergeCell ref="T7:U7"/>
    <mergeCell ref="T8:U8"/>
    <mergeCell ref="T9:U12"/>
  </mergeCells>
  <phoneticPr fontId="9" type="noConversion"/>
  <hyperlinks>
    <hyperlink ref="F55" r:id="rId1" xr:uid="{E6C448FA-9FD5-4C94-BE26-18EC7C987BD4}"/>
    <hyperlink ref="F54" r:id="rId2" xr:uid="{1CCD8FB7-D850-4683-B9C0-59BF6A7B1A10}"/>
    <hyperlink ref="F53" r:id="rId3" xr:uid="{447F42FD-8507-43CC-8D8E-AE0857EE2C4F}"/>
    <hyperlink ref="F52" r:id="rId4" xr:uid="{486F25A1-DF75-403F-9A72-24E48C0FA746}"/>
    <hyperlink ref="F50" r:id="rId5" xr:uid="{33072D77-5CB4-49CD-8B80-72D1EC9C5A6C}"/>
    <hyperlink ref="F49" r:id="rId6" xr:uid="{94EA79FD-09AA-4C98-ADB0-317060626E94}"/>
    <hyperlink ref="F47" r:id="rId7" xr:uid="{68AF830F-EDFA-4380-B8DA-963BC698B049}"/>
    <hyperlink ref="F46" r:id="rId8" xr:uid="{30A1C9F7-9950-4C29-89C8-9F52B2EFBC1F}"/>
    <hyperlink ref="F45" r:id="rId9" xr:uid="{207D0B47-5F2A-4B18-9DE1-21CD565FC873}"/>
    <hyperlink ref="F44" r:id="rId10" xr:uid="{C9511102-165D-45C6-AD98-FC76206D3035}"/>
    <hyperlink ref="F43" r:id="rId11" xr:uid="{096C7844-A3C5-4FB7-A6ED-7267FED501CF}"/>
    <hyperlink ref="F28" r:id="rId12" xr:uid="{B4C14335-717D-4508-9B69-68D4FE00594C}"/>
  </hyperlinks>
  <pageMargins left="0.7" right="0.7" top="0.75" bottom="0.75" header="0.3" footer="0.3"/>
  <pageSetup orientation="portrait" r:id="rId13"/>
  <drawing r:id="rId14"/>
  <tableParts count="1">
    <tablePart r:id="rId1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B1:M772"/>
  <sheetViews>
    <sheetView showGridLines="0" showRuler="0" view="pageLayout" topLeftCell="A34" zoomScaleNormal="110" zoomScaleSheetLayoutView="110" workbookViewId="0">
      <selection activeCell="J20" sqref="J20"/>
    </sheetView>
  </sheetViews>
  <sheetFormatPr baseColWidth="10" defaultColWidth="11.42578125" defaultRowHeight="11.25" x14ac:dyDescent="0.2"/>
  <cols>
    <col min="1" max="1" width="2" style="7" customWidth="1"/>
    <col min="2" max="2" width="2.140625" style="7" customWidth="1"/>
    <col min="3" max="3" width="9.7109375" style="7" customWidth="1"/>
    <col min="4" max="4" width="27.85546875" style="7" customWidth="1"/>
    <col min="5" max="6" width="10.5703125" style="7" customWidth="1"/>
    <col min="7" max="7" width="15.7109375" style="7" customWidth="1"/>
    <col min="8" max="8" width="2.140625" style="7" customWidth="1"/>
    <col min="9" max="10" width="11.42578125" style="7"/>
    <col min="11" max="11" width="18.140625" style="7" customWidth="1"/>
    <col min="12" max="12" width="11.42578125" style="160"/>
    <col min="13" max="13" width="11.42578125" style="162"/>
    <col min="14" max="16384" width="11.42578125" style="7"/>
  </cols>
  <sheetData>
    <row r="1" spans="2:13" s="9" customFormat="1" x14ac:dyDescent="0.2">
      <c r="B1" s="97"/>
      <c r="C1" s="97"/>
      <c r="D1" s="97"/>
      <c r="E1" s="97"/>
      <c r="F1" s="97"/>
      <c r="G1" s="97"/>
      <c r="H1" s="97"/>
    </row>
    <row r="2" spans="2:13" s="9" customFormat="1" x14ac:dyDescent="0.2">
      <c r="B2" s="97"/>
      <c r="C2" s="97"/>
      <c r="D2" s="97"/>
      <c r="E2" s="97"/>
      <c r="F2" s="97"/>
      <c r="G2" s="97"/>
      <c r="H2" s="97"/>
    </row>
    <row r="3" spans="2:13" s="9" customFormat="1" x14ac:dyDescent="0.2">
      <c r="B3" s="97"/>
      <c r="C3" s="97"/>
      <c r="D3" s="98"/>
      <c r="E3" s="97"/>
      <c r="F3" s="97"/>
      <c r="G3" s="97"/>
      <c r="H3" s="97"/>
    </row>
    <row r="4" spans="2:13" s="9" customFormat="1" ht="12" customHeight="1" x14ac:dyDescent="0.2">
      <c r="B4" s="97"/>
      <c r="C4" s="97"/>
      <c r="D4" s="98"/>
      <c r="E4" s="97"/>
      <c r="F4" s="97"/>
      <c r="G4" s="97"/>
      <c r="H4" s="97"/>
    </row>
    <row r="5" spans="2:13" s="9" customFormat="1" ht="15" customHeight="1" x14ac:dyDescent="0.2">
      <c r="B5" s="97"/>
      <c r="C5" s="97"/>
      <c r="D5" s="98"/>
      <c r="E5" s="97"/>
      <c r="F5" s="97"/>
      <c r="G5" s="97"/>
      <c r="H5" s="97"/>
    </row>
    <row r="6" spans="2:13" s="9" customFormat="1" ht="9.75" customHeight="1" x14ac:dyDescent="0.2">
      <c r="B6" s="97"/>
      <c r="C6" s="97"/>
      <c r="D6" s="98"/>
      <c r="E6" s="97"/>
      <c r="F6" s="97"/>
      <c r="G6" s="97"/>
      <c r="H6" s="97"/>
    </row>
    <row r="7" spans="2:13" s="9" customFormat="1" ht="9.75" customHeight="1" x14ac:dyDescent="0.2">
      <c r="B7" s="97"/>
      <c r="C7" s="97"/>
      <c r="D7" s="98"/>
      <c r="E7" s="211" t="s">
        <v>211</v>
      </c>
      <c r="F7" s="212"/>
      <c r="G7" s="212"/>
      <c r="H7" s="97"/>
    </row>
    <row r="8" spans="2:13" s="9" customFormat="1" ht="6.75" customHeight="1" x14ac:dyDescent="0.2">
      <c r="B8" s="99"/>
      <c r="C8" s="100"/>
      <c r="D8" s="100"/>
      <c r="E8" s="212"/>
      <c r="F8" s="212"/>
      <c r="G8" s="212"/>
      <c r="H8" s="100"/>
    </row>
    <row r="9" spans="2:13" ht="9.75" customHeight="1" x14ac:dyDescent="0.2">
      <c r="B9" s="96"/>
      <c r="C9" s="96"/>
      <c r="D9" s="96"/>
      <c r="E9" s="216" t="s">
        <v>298</v>
      </c>
      <c r="F9" s="217"/>
      <c r="G9" s="217"/>
      <c r="H9" s="96"/>
      <c r="L9" s="7"/>
      <c r="M9" s="7"/>
    </row>
    <row r="10" spans="2:13" ht="15" customHeight="1" x14ac:dyDescent="0.2">
      <c r="B10" s="96"/>
      <c r="C10" s="96"/>
      <c r="D10" s="96"/>
      <c r="E10" s="217"/>
      <c r="F10" s="217"/>
      <c r="G10" s="217"/>
      <c r="H10" s="96"/>
      <c r="L10" s="7"/>
      <c r="M10" s="7"/>
    </row>
    <row r="11" spans="2:13" ht="14.25" customHeight="1" x14ac:dyDescent="0.2">
      <c r="B11" s="210"/>
      <c r="C11" s="210"/>
      <c r="D11" s="210"/>
      <c r="E11" s="210"/>
      <c r="F11" s="210"/>
      <c r="G11" s="210"/>
      <c r="H11" s="210"/>
      <c r="L11" s="7"/>
      <c r="M11" s="7"/>
    </row>
    <row r="12" spans="2:13" ht="9" customHeight="1" x14ac:dyDescent="0.2">
      <c r="B12" s="101"/>
      <c r="C12" s="101"/>
      <c r="D12" s="101"/>
      <c r="E12" s="101"/>
      <c r="F12" s="215" t="str">
        <f>IF(D13="","",VLOOKUP(D13,TCLIENTES2[],9,FALSE))</f>
        <v>AGENTE CARMEN VARGAS</v>
      </c>
      <c r="G12" s="215"/>
      <c r="H12" s="101"/>
      <c r="L12" s="7"/>
      <c r="M12" s="7"/>
    </row>
    <row r="13" spans="2:13" ht="15" customHeight="1" x14ac:dyDescent="0.2">
      <c r="B13" s="101"/>
      <c r="C13" s="102" t="s">
        <v>13</v>
      </c>
      <c r="D13" s="103" t="s">
        <v>460</v>
      </c>
      <c r="E13" s="104"/>
      <c r="F13" s="215"/>
      <c r="G13" s="215"/>
      <c r="H13" s="101"/>
      <c r="L13" s="7"/>
      <c r="M13" s="7"/>
    </row>
    <row r="14" spans="2:13" ht="12.75" x14ac:dyDescent="0.2">
      <c r="B14" s="101"/>
      <c r="C14" s="102" t="s">
        <v>0</v>
      </c>
      <c r="D14" s="101" t="str">
        <f>IF(D13="","",VLOOKUP(D13,TCLIENTES2[],2,FALSE))</f>
        <v>Roberto Villegas Rodríguez</v>
      </c>
      <c r="E14" s="101"/>
      <c r="F14" s="218" t="str">
        <f>IF(D13="","",VLOOKUP(D13,TCLIENTES2[],6,FALSE))</f>
        <v>TARIFA KWH</v>
      </c>
      <c r="G14" s="218"/>
      <c r="H14" s="101"/>
      <c r="L14" s="7"/>
      <c r="M14" s="7"/>
    </row>
    <row r="15" spans="2:13" x14ac:dyDescent="0.2">
      <c r="B15" s="101"/>
      <c r="C15" s="102" t="s">
        <v>1</v>
      </c>
      <c r="D15" s="104" t="str">
        <f>IF(D13="","",VLOOKUP(D13,TCLIENTES2[],3,FALSE))</f>
        <v>2405 Covina Ave McAllen Texas 78503</v>
      </c>
      <c r="E15" s="104"/>
      <c r="F15" s="159" t="s">
        <v>266</v>
      </c>
      <c r="G15" s="105">
        <v>35</v>
      </c>
      <c r="H15" s="101"/>
      <c r="L15" s="7"/>
      <c r="M15" s="7"/>
    </row>
    <row r="16" spans="2:13" x14ac:dyDescent="0.2">
      <c r="B16" s="101"/>
      <c r="C16" s="102" t="s">
        <v>21</v>
      </c>
      <c r="D16" s="220" t="str">
        <f>IF(D13="","",VLOOKUP(D13,TCLIENTES2[],8,FALSE))</f>
        <v>May 27,2026</v>
      </c>
      <c r="E16" s="220"/>
      <c r="F16" s="102" t="s">
        <v>22</v>
      </c>
      <c r="G16" s="282" t="e">
        <f>EDATE(D16, 1)</f>
        <v>#VALUE!</v>
      </c>
      <c r="H16" s="101"/>
      <c r="L16" s="7"/>
      <c r="M16" s="7"/>
    </row>
    <row r="17" spans="2:13" ht="15" customHeight="1" x14ac:dyDescent="0.2">
      <c r="B17" s="101"/>
      <c r="C17" s="102" t="s">
        <v>17</v>
      </c>
      <c r="D17" s="103">
        <f>IF(D13="","",VLOOKUP(D13,TCLIENTES2[],5,FALSE))</f>
        <v>0</v>
      </c>
      <c r="E17" s="107"/>
      <c r="F17" s="223" t="s">
        <v>34</v>
      </c>
      <c r="G17" s="223"/>
      <c r="H17" s="101"/>
      <c r="L17" s="7"/>
      <c r="M17" s="7"/>
    </row>
    <row r="18" spans="2:13" ht="15" customHeight="1" x14ac:dyDescent="0.2">
      <c r="B18" s="101"/>
      <c r="C18" s="102" t="s">
        <v>20</v>
      </c>
      <c r="D18" s="108">
        <f>IF(D13="","",VLOOKUP(D13,TCLIENTES2[],4,FALSE))</f>
        <v>956490922</v>
      </c>
      <c r="E18" s="109"/>
      <c r="F18" s="222">
        <f>IF(D13="","",VLOOKUP(D13,TCLIENTES2[],7,FALSE))</f>
        <v>1.00327894733315E+16</v>
      </c>
      <c r="G18" s="222"/>
      <c r="H18" s="101"/>
      <c r="L18" s="7"/>
      <c r="M18" s="7"/>
    </row>
    <row r="19" spans="2:13" x14ac:dyDescent="0.2">
      <c r="B19" s="101"/>
      <c r="C19" s="101"/>
      <c r="D19" s="101"/>
      <c r="E19" s="101"/>
      <c r="F19" s="101"/>
      <c r="G19" s="101"/>
      <c r="H19" s="101"/>
      <c r="L19" s="7"/>
      <c r="M19" s="7"/>
    </row>
    <row r="20" spans="2:13" x14ac:dyDescent="0.2">
      <c r="B20" s="8"/>
      <c r="C20" s="13" t="s">
        <v>2</v>
      </c>
      <c r="D20" s="14" t="s">
        <v>3</v>
      </c>
      <c r="E20" s="14" t="s">
        <v>4</v>
      </c>
      <c r="F20" s="14" t="s">
        <v>5</v>
      </c>
      <c r="G20" s="15" t="s">
        <v>6</v>
      </c>
      <c r="H20" s="8"/>
      <c r="L20" s="7"/>
      <c r="M20" s="7"/>
    </row>
    <row r="21" spans="2:13" x14ac:dyDescent="0.2">
      <c r="B21" s="101"/>
      <c r="C21" s="110"/>
      <c r="D21" s="111" t="str">
        <f>IF(C21="","",VLOOKUP(C21,TPRODUCTOS[],2,FALSE))</f>
        <v/>
      </c>
      <c r="E21" s="112"/>
      <c r="F21" s="113"/>
      <c r="G21" s="16"/>
      <c r="H21" s="101"/>
      <c r="L21" s="7"/>
      <c r="M21" s="7"/>
    </row>
    <row r="22" spans="2:13" ht="11.25" customHeight="1" x14ac:dyDescent="0.2">
      <c r="B22" s="101"/>
      <c r="C22" s="114" t="s">
        <v>443</v>
      </c>
      <c r="D22" s="111" t="str">
        <f>IF(C22="","",VLOOKUP(C22,TPRODUCTOS[],2,FALSE))</f>
        <v>Depósito</v>
      </c>
      <c r="E22" s="171">
        <f>IF(C22="","",VLOOKUP(C22,TPRODUCTOS[],3,FALSE))</f>
        <v>95</v>
      </c>
      <c r="F22" s="115" t="s">
        <v>428</v>
      </c>
      <c r="G22" s="34">
        <f>IF(C22="","",VLOOKUP(C22,TPRODUCTOS[],3,FALSE))</f>
        <v>95</v>
      </c>
      <c r="H22" s="101"/>
      <c r="L22" s="7"/>
      <c r="M22" s="7"/>
    </row>
    <row r="23" spans="2:13" x14ac:dyDescent="0.2">
      <c r="B23" s="101"/>
      <c r="C23" s="114"/>
      <c r="D23" s="111"/>
      <c r="E23" s="171"/>
      <c r="F23" s="115"/>
      <c r="G23" s="34" t="str">
        <f>IF(C23="","",VLOOKUP(C23,TPRODUCTOS[],3,FALSE))</f>
        <v/>
      </c>
      <c r="H23" s="101"/>
      <c r="L23" s="7"/>
      <c r="M23" s="7"/>
    </row>
    <row r="24" spans="2:13" x14ac:dyDescent="0.2">
      <c r="B24" s="101"/>
      <c r="C24" s="114"/>
      <c r="D24" s="116"/>
      <c r="E24" s="112"/>
      <c r="F24" s="113"/>
      <c r="G24" s="34"/>
      <c r="H24" s="101"/>
      <c r="L24" s="7"/>
      <c r="M24" s="7"/>
    </row>
    <row r="25" spans="2:13" x14ac:dyDescent="0.2">
      <c r="B25" s="8"/>
      <c r="C25" s="8"/>
      <c r="D25" s="8"/>
      <c r="E25" s="8"/>
      <c r="F25" s="119" t="s">
        <v>9</v>
      </c>
      <c r="G25" s="167">
        <f>SUM(G21:G24)</f>
        <v>95</v>
      </c>
      <c r="H25" s="8"/>
      <c r="L25" s="7"/>
      <c r="M25" s="7"/>
    </row>
    <row r="26" spans="2:13" ht="18.75" x14ac:dyDescent="0.3">
      <c r="B26" s="101"/>
      <c r="C26" s="117" t="s">
        <v>10</v>
      </c>
      <c r="D26" s="229" t="s">
        <v>444</v>
      </c>
      <c r="E26" s="229"/>
      <c r="F26" s="101"/>
      <c r="G26" s="101"/>
      <c r="H26" s="101"/>
      <c r="L26" s="7"/>
      <c r="M26" s="7"/>
    </row>
    <row r="27" spans="2:13" x14ac:dyDescent="0.2">
      <c r="B27" s="101"/>
      <c r="C27" s="101"/>
      <c r="D27" s="101"/>
      <c r="E27" s="101"/>
      <c r="F27" s="120" t="s">
        <v>19</v>
      </c>
      <c r="G27" s="12">
        <f>SUM(G25-45)</f>
        <v>50</v>
      </c>
      <c r="H27" s="101"/>
      <c r="L27" s="7"/>
      <c r="M27" s="7"/>
    </row>
    <row r="28" spans="2:13" x14ac:dyDescent="0.2">
      <c r="B28" s="101"/>
      <c r="C28" s="101"/>
      <c r="D28" s="102"/>
      <c r="E28" s="101"/>
      <c r="F28" s="121" t="s">
        <v>26</v>
      </c>
      <c r="G28" s="12">
        <f>+G29-G27</f>
        <v>45</v>
      </c>
      <c r="H28" s="101"/>
      <c r="L28" s="7"/>
      <c r="M28" s="7"/>
    </row>
    <row r="29" spans="2:13" ht="30" x14ac:dyDescent="0.25">
      <c r="B29" s="101"/>
      <c r="C29" s="101"/>
      <c r="D29" s="118" t="s">
        <v>70</v>
      </c>
      <c r="E29" s="101"/>
      <c r="F29" s="122" t="s">
        <v>18</v>
      </c>
      <c r="G29" s="17">
        <f>+G25</f>
        <v>95</v>
      </c>
      <c r="H29" s="101"/>
      <c r="L29" s="7"/>
      <c r="M29" s="7"/>
    </row>
    <row r="30" spans="2:13" x14ac:dyDescent="0.2">
      <c r="B30" s="101"/>
      <c r="C30" s="101"/>
      <c r="D30" s="101"/>
      <c r="E30" s="228" t="s">
        <v>69</v>
      </c>
      <c r="F30" s="226"/>
      <c r="G30" s="226"/>
      <c r="H30" s="101"/>
      <c r="L30" s="7"/>
      <c r="M30" s="7"/>
    </row>
    <row r="31" spans="2:13" x14ac:dyDescent="0.2">
      <c r="B31" s="101"/>
      <c r="C31" s="101"/>
      <c r="D31" s="101"/>
      <c r="E31" s="228"/>
      <c r="F31" s="227"/>
      <c r="G31" s="227"/>
      <c r="H31" s="101"/>
      <c r="L31" s="7"/>
      <c r="M31" s="7"/>
    </row>
    <row r="32" spans="2:13" x14ac:dyDescent="0.2">
      <c r="B32" s="9"/>
      <c r="C32" s="9"/>
      <c r="D32" s="9"/>
      <c r="E32" s="9"/>
      <c r="F32" s="9"/>
      <c r="G32" s="123"/>
      <c r="H32" s="123"/>
      <c r="L32" s="7"/>
      <c r="M32" s="7"/>
    </row>
    <row r="33" spans="2:13" x14ac:dyDescent="0.2">
      <c r="B33" s="9"/>
      <c r="C33" s="9"/>
      <c r="D33" s="9"/>
      <c r="E33" s="9"/>
      <c r="F33" s="9"/>
      <c r="G33" s="123"/>
      <c r="H33" s="123"/>
      <c r="L33" s="7"/>
      <c r="M33" s="7"/>
    </row>
    <row r="34" spans="2:13" x14ac:dyDescent="0.2">
      <c r="B34" s="9"/>
      <c r="C34" s="9"/>
      <c r="D34" s="9"/>
      <c r="E34" s="9"/>
      <c r="F34" s="9"/>
      <c r="G34" s="123"/>
      <c r="H34" s="123"/>
      <c r="L34" s="7"/>
      <c r="M34" s="7"/>
    </row>
    <row r="35" spans="2:13" x14ac:dyDescent="0.2">
      <c r="B35" s="9"/>
      <c r="C35" s="9"/>
      <c r="D35" s="9"/>
      <c r="E35" s="9"/>
      <c r="F35" s="9"/>
      <c r="G35" s="123"/>
      <c r="H35" s="123"/>
      <c r="L35" s="7"/>
      <c r="M35" s="7"/>
    </row>
    <row r="36" spans="2:13" x14ac:dyDescent="0.2">
      <c r="B36" s="9"/>
      <c r="C36" s="9"/>
      <c r="D36" s="9"/>
      <c r="E36" s="9"/>
      <c r="F36" s="9"/>
      <c r="G36" s="123"/>
      <c r="H36" s="123"/>
      <c r="L36" s="7"/>
      <c r="M36" s="7"/>
    </row>
    <row r="37" spans="2:13" ht="15.75" customHeight="1" x14ac:dyDescent="0.2">
      <c r="B37" s="9"/>
      <c r="C37" s="9"/>
      <c r="D37" s="9"/>
      <c r="E37" s="9"/>
      <c r="F37" s="9"/>
      <c r="G37" s="123"/>
      <c r="H37" s="123"/>
      <c r="L37" s="7"/>
      <c r="M37" s="7"/>
    </row>
    <row r="38" spans="2:13" x14ac:dyDescent="0.2">
      <c r="B38" s="9"/>
      <c r="C38" s="221"/>
      <c r="D38" s="221"/>
      <c r="E38" s="221"/>
      <c r="F38" s="221"/>
      <c r="G38" s="123"/>
      <c r="H38" s="123"/>
      <c r="L38" s="7"/>
      <c r="M38" s="7"/>
    </row>
    <row r="39" spans="2:13" x14ac:dyDescent="0.2">
      <c r="B39" s="9"/>
      <c r="C39" s="9"/>
      <c r="D39" s="9"/>
      <c r="E39" s="9"/>
      <c r="F39" s="9"/>
      <c r="G39" s="123"/>
      <c r="H39" s="123"/>
      <c r="L39" s="7"/>
      <c r="M39" s="7"/>
    </row>
    <row r="40" spans="2:13" x14ac:dyDescent="0.2">
      <c r="B40" s="9"/>
      <c r="C40" s="22"/>
      <c r="D40" s="9"/>
      <c r="E40" s="9"/>
      <c r="F40" s="9"/>
      <c r="G40" s="123"/>
      <c r="H40" s="123"/>
      <c r="L40" s="7"/>
      <c r="M40" s="7"/>
    </row>
    <row r="41" spans="2:13" x14ac:dyDescent="0.2">
      <c r="B41" s="9"/>
      <c r="C41" s="224" t="s">
        <v>59</v>
      </c>
      <c r="D41" s="225"/>
      <c r="E41" s="225"/>
      <c r="F41" s="225"/>
      <c r="G41" s="225"/>
      <c r="H41" s="10"/>
      <c r="L41" s="7"/>
      <c r="M41" s="7"/>
    </row>
    <row r="42" spans="2:13" x14ac:dyDescent="0.2">
      <c r="B42" s="9"/>
      <c r="C42" s="224" t="s">
        <v>86</v>
      </c>
      <c r="D42" s="225"/>
      <c r="E42" s="225"/>
      <c r="F42" s="225"/>
      <c r="G42" s="225"/>
      <c r="H42" s="10"/>
      <c r="L42" s="7"/>
      <c r="M42" s="7"/>
    </row>
    <row r="43" spans="2:13" x14ac:dyDescent="0.2">
      <c r="B43" s="9"/>
      <c r="C43" s="224" t="s">
        <v>23</v>
      </c>
      <c r="D43" s="224"/>
      <c r="E43" s="224"/>
      <c r="F43" s="224"/>
      <c r="G43" s="224"/>
      <c r="H43" s="10"/>
      <c r="L43" s="7"/>
      <c r="M43" s="7"/>
    </row>
    <row r="44" spans="2:13" x14ac:dyDescent="0.2">
      <c r="B44" s="9"/>
      <c r="C44" s="74"/>
      <c r="D44" s="75"/>
      <c r="E44" s="75"/>
      <c r="F44" s="75"/>
      <c r="G44" s="75"/>
      <c r="H44" s="10"/>
      <c r="L44" s="7"/>
      <c r="M44" s="7"/>
    </row>
    <row r="45" spans="2:13" x14ac:dyDescent="0.2">
      <c r="B45" s="9"/>
      <c r="C45" s="74"/>
      <c r="D45" s="75"/>
      <c r="E45" s="75"/>
      <c r="F45" s="75"/>
      <c r="G45" s="75"/>
      <c r="H45" s="10"/>
      <c r="L45" s="7"/>
      <c r="M45" s="7"/>
    </row>
    <row r="46" spans="2:13" ht="12.75" customHeight="1" x14ac:dyDescent="0.2">
      <c r="B46" s="8"/>
      <c r="C46" s="8"/>
      <c r="D46" s="8"/>
      <c r="E46" s="8"/>
      <c r="F46" s="8"/>
      <c r="G46" s="8"/>
      <c r="H46" s="8"/>
      <c r="L46" s="7"/>
      <c r="M46" s="7"/>
    </row>
    <row r="47" spans="2:13" ht="12.75" customHeight="1" x14ac:dyDescent="0.2">
      <c r="B47" s="9"/>
      <c r="C47" s="213" t="s">
        <v>15</v>
      </c>
      <c r="D47" s="213"/>
      <c r="E47" s="213"/>
      <c r="F47" s="213"/>
      <c r="G47" s="213"/>
      <c r="H47" s="10"/>
      <c r="L47" s="7"/>
      <c r="M47" s="7"/>
    </row>
    <row r="48" spans="2:13" x14ac:dyDescent="0.2">
      <c r="B48" s="9"/>
      <c r="C48" s="213"/>
      <c r="D48" s="213"/>
      <c r="E48" s="213"/>
      <c r="F48" s="213"/>
      <c r="G48" s="213"/>
      <c r="H48" s="10"/>
      <c r="L48" s="7"/>
      <c r="M48" s="7"/>
    </row>
    <row r="49" spans="2:13" x14ac:dyDescent="0.2">
      <c r="B49" s="9"/>
      <c r="C49" s="213"/>
      <c r="D49" s="213"/>
      <c r="E49" s="213"/>
      <c r="F49" s="213"/>
      <c r="G49" s="213"/>
      <c r="H49" s="10"/>
      <c r="L49" s="7"/>
      <c r="M49" s="7"/>
    </row>
    <row r="50" spans="2:13" ht="15" customHeight="1" x14ac:dyDescent="0.2">
      <c r="B50" s="9"/>
      <c r="C50" s="73"/>
      <c r="D50" s="73"/>
      <c r="E50" s="73"/>
      <c r="F50" s="73"/>
      <c r="G50" s="73"/>
      <c r="H50" s="10"/>
      <c r="L50" s="7"/>
      <c r="M50" s="7"/>
    </row>
    <row r="51" spans="2:13" ht="15" customHeight="1" x14ac:dyDescent="0.2">
      <c r="B51" s="214" t="s">
        <v>23</v>
      </c>
      <c r="C51" s="214"/>
      <c r="D51" s="214"/>
      <c r="E51" s="214"/>
      <c r="F51" s="214"/>
      <c r="G51" s="214"/>
      <c r="H51" s="214"/>
      <c r="L51" s="7"/>
      <c r="M51" s="7"/>
    </row>
    <row r="52" spans="2:13" x14ac:dyDescent="0.2">
      <c r="B52" s="219" t="s">
        <v>24</v>
      </c>
      <c r="C52" s="219"/>
      <c r="D52" s="219"/>
      <c r="E52" s="219"/>
      <c r="F52" s="219"/>
      <c r="G52" s="219"/>
      <c r="H52" s="219"/>
      <c r="L52" s="7"/>
      <c r="M52" s="7"/>
    </row>
    <row r="53" spans="2:13" x14ac:dyDescent="0.2">
      <c r="B53" s="9"/>
      <c r="H53" s="10"/>
      <c r="L53" s="7"/>
      <c r="M53" s="7"/>
    </row>
    <row r="54" spans="2:13" ht="11.25" customHeight="1" x14ac:dyDescent="0.2">
      <c r="B54" s="9"/>
      <c r="H54" s="10"/>
      <c r="L54" s="7"/>
      <c r="M54" s="7"/>
    </row>
    <row r="55" spans="2:13" x14ac:dyDescent="0.2">
      <c r="L55" s="7"/>
      <c r="M55" s="7"/>
    </row>
    <row r="56" spans="2:13" x14ac:dyDescent="0.2">
      <c r="L56" s="7"/>
      <c r="M56" s="7"/>
    </row>
    <row r="57" spans="2:13" x14ac:dyDescent="0.2">
      <c r="L57" s="7"/>
      <c r="M57" s="7"/>
    </row>
    <row r="58" spans="2:13" x14ac:dyDescent="0.2">
      <c r="L58" s="7"/>
      <c r="M58" s="7"/>
    </row>
    <row r="59" spans="2:13" s="9" customFormat="1" x14ac:dyDescent="0.2"/>
    <row r="60" spans="2:13" hidden="1" x14ac:dyDescent="0.2">
      <c r="L60" s="7"/>
      <c r="M60" s="7"/>
    </row>
    <row r="61" spans="2:13" hidden="1" x14ac:dyDescent="0.2">
      <c r="L61" s="7"/>
      <c r="M61" s="7"/>
    </row>
    <row r="62" spans="2:13" hidden="1" x14ac:dyDescent="0.2">
      <c r="L62" s="7"/>
      <c r="M62" s="7"/>
    </row>
    <row r="63" spans="2:13" hidden="1" x14ac:dyDescent="0.2">
      <c r="L63" s="7"/>
      <c r="M63" s="7"/>
    </row>
    <row r="64" spans="2:13" hidden="1" x14ac:dyDescent="0.2">
      <c r="L64" s="7"/>
      <c r="M64" s="7"/>
    </row>
    <row r="65" s="7" customFormat="1" hidden="1" x14ac:dyDescent="0.2"/>
    <row r="66" s="7" customFormat="1" hidden="1" x14ac:dyDescent="0.2"/>
    <row r="67" s="7" customFormat="1" hidden="1" x14ac:dyDescent="0.2"/>
    <row r="68" s="7" customFormat="1" hidden="1" x14ac:dyDescent="0.2"/>
    <row r="69" s="7" customFormat="1" hidden="1" x14ac:dyDescent="0.2"/>
    <row r="70" s="7" customFormat="1" hidden="1" x14ac:dyDescent="0.2"/>
    <row r="71" s="7" customFormat="1" hidden="1" x14ac:dyDescent="0.2"/>
    <row r="72" s="7" customFormat="1" hidden="1" x14ac:dyDescent="0.2"/>
    <row r="73" s="7" customFormat="1" hidden="1" x14ac:dyDescent="0.2"/>
    <row r="74" s="7" customFormat="1" hidden="1" x14ac:dyDescent="0.2"/>
    <row r="75" s="7" customFormat="1" hidden="1" x14ac:dyDescent="0.2"/>
    <row r="76" s="7" customFormat="1" hidden="1" x14ac:dyDescent="0.2"/>
    <row r="77" s="7" customFormat="1" hidden="1" x14ac:dyDescent="0.2"/>
    <row r="78" s="7" customFormat="1" hidden="1" x14ac:dyDescent="0.2"/>
    <row r="79" s="7" customFormat="1" hidden="1" x14ac:dyDescent="0.2"/>
    <row r="80" s="7" customFormat="1" hidden="1" x14ac:dyDescent="0.2"/>
    <row r="81" s="7" customFormat="1" hidden="1" x14ac:dyDescent="0.2"/>
    <row r="82" s="7" customFormat="1" hidden="1" x14ac:dyDescent="0.2"/>
    <row r="83" s="7" customFormat="1" hidden="1" x14ac:dyDescent="0.2"/>
    <row r="84" s="7" customFormat="1" hidden="1" x14ac:dyDescent="0.2"/>
    <row r="85" s="7" customFormat="1" hidden="1" x14ac:dyDescent="0.2"/>
    <row r="86" s="7" customFormat="1" hidden="1" x14ac:dyDescent="0.2"/>
    <row r="87" s="7" customFormat="1" hidden="1" x14ac:dyDescent="0.2"/>
    <row r="88" s="7" customFormat="1" hidden="1" x14ac:dyDescent="0.2"/>
    <row r="89" s="7" customFormat="1" hidden="1" x14ac:dyDescent="0.2"/>
    <row r="90" s="7" customFormat="1" hidden="1" x14ac:dyDescent="0.2"/>
    <row r="91" s="7" customFormat="1" hidden="1" x14ac:dyDescent="0.2"/>
    <row r="92" s="7" customFormat="1" hidden="1" x14ac:dyDescent="0.2"/>
    <row r="93" s="7" customFormat="1" hidden="1" x14ac:dyDescent="0.2"/>
    <row r="94" s="7" customFormat="1" hidden="1" x14ac:dyDescent="0.2"/>
    <row r="95" s="7" customFormat="1" hidden="1" x14ac:dyDescent="0.2"/>
    <row r="96" s="7" customFormat="1" hidden="1" x14ac:dyDescent="0.2"/>
    <row r="97" s="7" customFormat="1" hidden="1" x14ac:dyDescent="0.2"/>
    <row r="98" s="7" customFormat="1" hidden="1" x14ac:dyDescent="0.2"/>
    <row r="99" s="7" customFormat="1" hidden="1" x14ac:dyDescent="0.2"/>
    <row r="100" s="7" customFormat="1" hidden="1" x14ac:dyDescent="0.2"/>
    <row r="101" s="7" customFormat="1" hidden="1" x14ac:dyDescent="0.2"/>
    <row r="102" s="7" customFormat="1" hidden="1" x14ac:dyDescent="0.2"/>
    <row r="103" s="7" customFormat="1" hidden="1" x14ac:dyDescent="0.2"/>
    <row r="104" s="7" customFormat="1" hidden="1" x14ac:dyDescent="0.2"/>
    <row r="105" s="7" customFormat="1" hidden="1" x14ac:dyDescent="0.2"/>
    <row r="106" s="7" customFormat="1" hidden="1" x14ac:dyDescent="0.2"/>
    <row r="107" s="7" customFormat="1" hidden="1" x14ac:dyDescent="0.2"/>
    <row r="108" s="7" customFormat="1" hidden="1" x14ac:dyDescent="0.2"/>
    <row r="109" s="7" customFormat="1" hidden="1" x14ac:dyDescent="0.2"/>
    <row r="110" s="7" customFormat="1" hidden="1" x14ac:dyDescent="0.2"/>
    <row r="111" s="7" customFormat="1" hidden="1" x14ac:dyDescent="0.2"/>
    <row r="112" s="7" customFormat="1" hidden="1" x14ac:dyDescent="0.2"/>
    <row r="113" s="7" customFormat="1" hidden="1" x14ac:dyDescent="0.2"/>
    <row r="114" s="7" customFormat="1" hidden="1" x14ac:dyDescent="0.2"/>
    <row r="115" s="7" customFormat="1" hidden="1" x14ac:dyDescent="0.2"/>
    <row r="116" s="7" customFormat="1" hidden="1" x14ac:dyDescent="0.2"/>
    <row r="117" s="7" customFormat="1" hidden="1" x14ac:dyDescent="0.2"/>
    <row r="118" s="7" customFormat="1" hidden="1" x14ac:dyDescent="0.2"/>
    <row r="119" s="7" customFormat="1" hidden="1" x14ac:dyDescent="0.2"/>
    <row r="120" s="7" customFormat="1" hidden="1" x14ac:dyDescent="0.2"/>
    <row r="121" s="7" customFormat="1" hidden="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7"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7" customFormat="1" x14ac:dyDescent="0.2"/>
    <row r="158" s="7" customFormat="1" x14ac:dyDescent="0.2"/>
    <row r="159" s="7" customFormat="1" x14ac:dyDescent="0.2"/>
    <row r="160"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7" customFormat="1" x14ac:dyDescent="0.2"/>
    <row r="172" s="7" customFormat="1" x14ac:dyDescent="0.2"/>
    <row r="173" s="7" customFormat="1" x14ac:dyDescent="0.2"/>
    <row r="174" s="7" customFormat="1" x14ac:dyDescent="0.2"/>
    <row r="175" s="7" customFormat="1" x14ac:dyDescent="0.2"/>
    <row r="176" s="7" customFormat="1" x14ac:dyDescent="0.2"/>
    <row r="177" s="7" customFormat="1" x14ac:dyDescent="0.2"/>
    <row r="178" s="7" customFormat="1" x14ac:dyDescent="0.2"/>
    <row r="179" s="7" customFormat="1" x14ac:dyDescent="0.2"/>
    <row r="180" s="7" customFormat="1" x14ac:dyDescent="0.2"/>
    <row r="181" s="7" customFormat="1" x14ac:dyDescent="0.2"/>
    <row r="182" s="7" customFormat="1" x14ac:dyDescent="0.2"/>
    <row r="183" s="7" customFormat="1" x14ac:dyDescent="0.2"/>
    <row r="184" s="7" customFormat="1" x14ac:dyDescent="0.2"/>
    <row r="185" s="7" customFormat="1" x14ac:dyDescent="0.2"/>
    <row r="186" s="7" customFormat="1" x14ac:dyDescent="0.2"/>
    <row r="187" s="7" customFormat="1" x14ac:dyDescent="0.2"/>
    <row r="188" s="7" customFormat="1" x14ac:dyDescent="0.2"/>
    <row r="189" s="7" customFormat="1" x14ac:dyDescent="0.2"/>
    <row r="190" s="7" customFormat="1" x14ac:dyDescent="0.2"/>
    <row r="191" s="7" customFormat="1" x14ac:dyDescent="0.2"/>
    <row r="192" s="7" customFormat="1" x14ac:dyDescent="0.2"/>
    <row r="193" s="7" customFormat="1" x14ac:dyDescent="0.2"/>
    <row r="194" s="7" customFormat="1" x14ac:dyDescent="0.2"/>
    <row r="195" s="7" customFormat="1" x14ac:dyDescent="0.2"/>
    <row r="196" s="7" customFormat="1" x14ac:dyDescent="0.2"/>
    <row r="197" s="7" customFormat="1" x14ac:dyDescent="0.2"/>
    <row r="198" s="7" customFormat="1" x14ac:dyDescent="0.2"/>
    <row r="199" s="7" customFormat="1" x14ac:dyDescent="0.2"/>
    <row r="200" s="7" customFormat="1" x14ac:dyDescent="0.2"/>
    <row r="201" s="7" customFormat="1" x14ac:dyDescent="0.2"/>
    <row r="202" s="7" customFormat="1" x14ac:dyDescent="0.2"/>
    <row r="203" s="7" customFormat="1" x14ac:dyDescent="0.2"/>
    <row r="204" s="7" customFormat="1" x14ac:dyDescent="0.2"/>
    <row r="205" s="7" customFormat="1" x14ac:dyDescent="0.2"/>
    <row r="206" s="7" customFormat="1" x14ac:dyDescent="0.2"/>
    <row r="207" s="7" customFormat="1" x14ac:dyDescent="0.2"/>
    <row r="208" s="7" customFormat="1" x14ac:dyDescent="0.2"/>
    <row r="209" s="7" customFormat="1" x14ac:dyDescent="0.2"/>
    <row r="210" s="7" customFormat="1" x14ac:dyDescent="0.2"/>
    <row r="211" s="7" customFormat="1" x14ac:dyDescent="0.2"/>
    <row r="212" s="7" customFormat="1" x14ac:dyDescent="0.2"/>
    <row r="213" s="7" customFormat="1" x14ac:dyDescent="0.2"/>
    <row r="214" s="7" customFormat="1" x14ac:dyDescent="0.2"/>
    <row r="215" s="7" customFormat="1" x14ac:dyDescent="0.2"/>
    <row r="216" s="7" customFormat="1" x14ac:dyDescent="0.2"/>
    <row r="217" s="7" customFormat="1" x14ac:dyDescent="0.2"/>
    <row r="218" s="7" customFormat="1" x14ac:dyDescent="0.2"/>
    <row r="219" s="7" customFormat="1" x14ac:dyDescent="0.2"/>
    <row r="220" s="7" customFormat="1" x14ac:dyDescent="0.2"/>
    <row r="221" s="7" customFormat="1" x14ac:dyDescent="0.2"/>
    <row r="222" s="7" customFormat="1" x14ac:dyDescent="0.2"/>
    <row r="223" s="7" customFormat="1" x14ac:dyDescent="0.2"/>
    <row r="224" s="7" customFormat="1" x14ac:dyDescent="0.2"/>
    <row r="225" s="7" customFormat="1" x14ac:dyDescent="0.2"/>
    <row r="226" s="7" customFormat="1" x14ac:dyDescent="0.2"/>
    <row r="227" s="7" customFormat="1" x14ac:dyDescent="0.2"/>
    <row r="228" s="7" customFormat="1" x14ac:dyDescent="0.2"/>
    <row r="229" s="7" customFormat="1" x14ac:dyDescent="0.2"/>
    <row r="230" s="7" customFormat="1" x14ac:dyDescent="0.2"/>
    <row r="231" s="7" customFormat="1" x14ac:dyDescent="0.2"/>
    <row r="232" s="7" customFormat="1" x14ac:dyDescent="0.2"/>
    <row r="233" s="7" customFormat="1" x14ac:dyDescent="0.2"/>
    <row r="234" s="7" customFormat="1" x14ac:dyDescent="0.2"/>
    <row r="235" s="7" customFormat="1" x14ac:dyDescent="0.2"/>
    <row r="236" s="7" customFormat="1" x14ac:dyDescent="0.2"/>
    <row r="237" s="7" customFormat="1" x14ac:dyDescent="0.2"/>
    <row r="238" s="7" customFormat="1" x14ac:dyDescent="0.2"/>
    <row r="239" s="7" customFormat="1" x14ac:dyDescent="0.2"/>
    <row r="240" s="7" customFormat="1" x14ac:dyDescent="0.2"/>
    <row r="241" s="7" customFormat="1" x14ac:dyDescent="0.2"/>
    <row r="242" s="7" customFormat="1" x14ac:dyDescent="0.2"/>
    <row r="243" s="7" customFormat="1" x14ac:dyDescent="0.2"/>
    <row r="244" s="7" customFormat="1" x14ac:dyDescent="0.2"/>
    <row r="245" s="7" customFormat="1" x14ac:dyDescent="0.2"/>
    <row r="246" s="7" customFormat="1" x14ac:dyDescent="0.2"/>
    <row r="247" s="7" customFormat="1" x14ac:dyDescent="0.2"/>
    <row r="248" s="7" customFormat="1" x14ac:dyDescent="0.2"/>
    <row r="249" s="7" customFormat="1" x14ac:dyDescent="0.2"/>
    <row r="250" s="7" customFormat="1" x14ac:dyDescent="0.2"/>
    <row r="251" s="7" customFormat="1" x14ac:dyDescent="0.2"/>
    <row r="252" s="7" customFormat="1" x14ac:dyDescent="0.2"/>
    <row r="253" s="7" customFormat="1" x14ac:dyDescent="0.2"/>
    <row r="254" s="7" customFormat="1" x14ac:dyDescent="0.2"/>
    <row r="255" s="7" customFormat="1" x14ac:dyDescent="0.2"/>
    <row r="256" s="7" customFormat="1" x14ac:dyDescent="0.2"/>
    <row r="257" s="7" customFormat="1" x14ac:dyDescent="0.2"/>
    <row r="258" s="7" customFormat="1" x14ac:dyDescent="0.2"/>
    <row r="259" s="7" customFormat="1" x14ac:dyDescent="0.2"/>
    <row r="260" s="7" customFormat="1" x14ac:dyDescent="0.2"/>
    <row r="261" s="7" customFormat="1" x14ac:dyDescent="0.2"/>
    <row r="262" s="7" customFormat="1" x14ac:dyDescent="0.2"/>
    <row r="263" s="7" customFormat="1" x14ac:dyDescent="0.2"/>
    <row r="264" s="7" customFormat="1" x14ac:dyDescent="0.2"/>
    <row r="265" s="7" customFormat="1" x14ac:dyDescent="0.2"/>
    <row r="266" s="7" customFormat="1" x14ac:dyDescent="0.2"/>
    <row r="267" s="7" customFormat="1" x14ac:dyDescent="0.2"/>
    <row r="268" s="7" customFormat="1" x14ac:dyDescent="0.2"/>
    <row r="269" s="7" customFormat="1" x14ac:dyDescent="0.2"/>
    <row r="270" s="7" customFormat="1" x14ac:dyDescent="0.2"/>
    <row r="271" s="7" customFormat="1" x14ac:dyDescent="0.2"/>
    <row r="272" s="7" customFormat="1" x14ac:dyDescent="0.2"/>
    <row r="273" s="7" customFormat="1" x14ac:dyDescent="0.2"/>
    <row r="274" s="7" customFormat="1" x14ac:dyDescent="0.2"/>
    <row r="275" s="7" customFormat="1" x14ac:dyDescent="0.2"/>
    <row r="276" s="7" customFormat="1" x14ac:dyDescent="0.2"/>
    <row r="277" s="7" customFormat="1" x14ac:dyDescent="0.2"/>
    <row r="278" s="7" customFormat="1" x14ac:dyDescent="0.2"/>
    <row r="279" s="7" customFormat="1" x14ac:dyDescent="0.2"/>
    <row r="280" s="7" customFormat="1" x14ac:dyDescent="0.2"/>
    <row r="281" s="7" customFormat="1" x14ac:dyDescent="0.2"/>
    <row r="282" s="7" customFormat="1" x14ac:dyDescent="0.2"/>
    <row r="283" s="7" customFormat="1" x14ac:dyDescent="0.2"/>
    <row r="284" s="7" customFormat="1" x14ac:dyDescent="0.2"/>
    <row r="285" s="7" customFormat="1" x14ac:dyDescent="0.2"/>
    <row r="286" s="7" customFormat="1" x14ac:dyDescent="0.2"/>
    <row r="287" s="7" customFormat="1" x14ac:dyDescent="0.2"/>
    <row r="288" s="7" customFormat="1" x14ac:dyDescent="0.2"/>
    <row r="289" s="7" customFormat="1" x14ac:dyDescent="0.2"/>
    <row r="290" s="7" customFormat="1" x14ac:dyDescent="0.2"/>
    <row r="291" s="7" customFormat="1" x14ac:dyDescent="0.2"/>
    <row r="292" s="7" customFormat="1" x14ac:dyDescent="0.2"/>
    <row r="293" s="7" customFormat="1" x14ac:dyDescent="0.2"/>
    <row r="294" s="7" customFormat="1" x14ac:dyDescent="0.2"/>
    <row r="295" s="7" customFormat="1" x14ac:dyDescent="0.2"/>
    <row r="296" s="7" customFormat="1" x14ac:dyDescent="0.2"/>
    <row r="297" s="7" customFormat="1" x14ac:dyDescent="0.2"/>
    <row r="298" s="7" customFormat="1" x14ac:dyDescent="0.2"/>
    <row r="299" s="7" customFormat="1" x14ac:dyDescent="0.2"/>
    <row r="300" s="7" customFormat="1" x14ac:dyDescent="0.2"/>
    <row r="301" s="7" customFormat="1" x14ac:dyDescent="0.2"/>
    <row r="302" s="7" customFormat="1" x14ac:dyDescent="0.2"/>
    <row r="303" s="7" customFormat="1" x14ac:dyDescent="0.2"/>
    <row r="304" s="7" customFormat="1" x14ac:dyDescent="0.2"/>
    <row r="305" s="7" customFormat="1" x14ac:dyDescent="0.2"/>
    <row r="306" s="7" customFormat="1" x14ac:dyDescent="0.2"/>
    <row r="307" s="7" customFormat="1" x14ac:dyDescent="0.2"/>
    <row r="308" s="7" customFormat="1" x14ac:dyDescent="0.2"/>
    <row r="309" s="7" customFormat="1" x14ac:dyDescent="0.2"/>
    <row r="310" s="7" customFormat="1" x14ac:dyDescent="0.2"/>
    <row r="311" s="7" customFormat="1" x14ac:dyDescent="0.2"/>
    <row r="312" s="7" customFormat="1" x14ac:dyDescent="0.2"/>
    <row r="313" s="7" customFormat="1" x14ac:dyDescent="0.2"/>
    <row r="314" s="7" customFormat="1" x14ac:dyDescent="0.2"/>
    <row r="315" s="7" customFormat="1" x14ac:dyDescent="0.2"/>
    <row r="316" s="7" customFormat="1" x14ac:dyDescent="0.2"/>
    <row r="317" s="7" customFormat="1" x14ac:dyDescent="0.2"/>
    <row r="318" s="7" customFormat="1" x14ac:dyDescent="0.2"/>
    <row r="319" s="7" customFormat="1" x14ac:dyDescent="0.2"/>
    <row r="320" s="7" customFormat="1" x14ac:dyDescent="0.2"/>
    <row r="321" s="7" customFormat="1" x14ac:dyDescent="0.2"/>
    <row r="322" s="7" customFormat="1" x14ac:dyDescent="0.2"/>
    <row r="323" s="7" customFormat="1" x14ac:dyDescent="0.2"/>
    <row r="324" s="7" customFormat="1" x14ac:dyDescent="0.2"/>
    <row r="325" s="7" customFormat="1" x14ac:dyDescent="0.2"/>
    <row r="326" s="7" customFormat="1" x14ac:dyDescent="0.2"/>
    <row r="327" s="7" customFormat="1" x14ac:dyDescent="0.2"/>
    <row r="328" s="7" customFormat="1" x14ac:dyDescent="0.2"/>
    <row r="329" s="7" customFormat="1" x14ac:dyDescent="0.2"/>
    <row r="330" s="7" customFormat="1" x14ac:dyDescent="0.2"/>
    <row r="331" s="7" customFormat="1" x14ac:dyDescent="0.2"/>
    <row r="332" s="7" customFormat="1" x14ac:dyDescent="0.2"/>
    <row r="333" s="7" customFormat="1" x14ac:dyDescent="0.2"/>
    <row r="334" s="7" customFormat="1" x14ac:dyDescent="0.2"/>
    <row r="335" s="7" customFormat="1" x14ac:dyDescent="0.2"/>
    <row r="336" s="7" customFormat="1" x14ac:dyDescent="0.2"/>
    <row r="337" s="7" customFormat="1" x14ac:dyDescent="0.2"/>
    <row r="338" s="7" customFormat="1" x14ac:dyDescent="0.2"/>
    <row r="339" s="7" customFormat="1" x14ac:dyDescent="0.2"/>
    <row r="340" s="7" customFormat="1" x14ac:dyDescent="0.2"/>
    <row r="341" s="7" customFormat="1" x14ac:dyDescent="0.2"/>
    <row r="342" s="7" customFormat="1" x14ac:dyDescent="0.2"/>
    <row r="343" s="7" customFormat="1" x14ac:dyDescent="0.2"/>
    <row r="344" s="7" customFormat="1" x14ac:dyDescent="0.2"/>
    <row r="345" s="7" customFormat="1" x14ac:dyDescent="0.2"/>
    <row r="346" s="7" customFormat="1" x14ac:dyDescent="0.2"/>
    <row r="347" s="7" customFormat="1" x14ac:dyDescent="0.2"/>
    <row r="348" s="7" customFormat="1" x14ac:dyDescent="0.2"/>
    <row r="349" s="7" customFormat="1" x14ac:dyDescent="0.2"/>
    <row r="350" s="7" customFormat="1" x14ac:dyDescent="0.2"/>
    <row r="351" s="7" customFormat="1" x14ac:dyDescent="0.2"/>
    <row r="352" s="7" customFormat="1" x14ac:dyDescent="0.2"/>
    <row r="353" s="7" customFormat="1" x14ac:dyDescent="0.2"/>
    <row r="354" s="7" customFormat="1" x14ac:dyDescent="0.2"/>
    <row r="355" s="7" customFormat="1" x14ac:dyDescent="0.2"/>
    <row r="356" s="7" customFormat="1" x14ac:dyDescent="0.2"/>
    <row r="357" s="7" customFormat="1" x14ac:dyDescent="0.2"/>
    <row r="358" s="7" customFormat="1" x14ac:dyDescent="0.2"/>
    <row r="359" s="7" customFormat="1" x14ac:dyDescent="0.2"/>
    <row r="360" s="7" customFormat="1" x14ac:dyDescent="0.2"/>
    <row r="361" s="7" customFormat="1" x14ac:dyDescent="0.2"/>
    <row r="362" s="7" customFormat="1" x14ac:dyDescent="0.2"/>
    <row r="363" s="7" customFormat="1" x14ac:dyDescent="0.2"/>
    <row r="364" s="7" customFormat="1" x14ac:dyDescent="0.2"/>
    <row r="365" s="7" customFormat="1" x14ac:dyDescent="0.2"/>
    <row r="366" s="7" customFormat="1" x14ac:dyDescent="0.2"/>
    <row r="367" s="7" customFormat="1" x14ac:dyDescent="0.2"/>
    <row r="368" s="7" customFormat="1" x14ac:dyDescent="0.2"/>
    <row r="369" s="7" customFormat="1" x14ac:dyDescent="0.2"/>
    <row r="370" s="7" customFormat="1" x14ac:dyDescent="0.2"/>
    <row r="371" s="7" customFormat="1" x14ac:dyDescent="0.2"/>
    <row r="372" s="7" customFormat="1" x14ac:dyDescent="0.2"/>
    <row r="373" s="7" customFormat="1" x14ac:dyDescent="0.2"/>
    <row r="374" s="7" customFormat="1" x14ac:dyDescent="0.2"/>
    <row r="375" s="7" customFormat="1" x14ac:dyDescent="0.2"/>
    <row r="376" s="7" customFormat="1" x14ac:dyDescent="0.2"/>
    <row r="377" s="7" customFormat="1" x14ac:dyDescent="0.2"/>
    <row r="378" s="7" customFormat="1" x14ac:dyDescent="0.2"/>
    <row r="379" s="7" customFormat="1" x14ac:dyDescent="0.2"/>
    <row r="380" s="7" customFormat="1" x14ac:dyDescent="0.2"/>
    <row r="381" s="7" customFormat="1" x14ac:dyDescent="0.2"/>
    <row r="382" s="7" customFormat="1" x14ac:dyDescent="0.2"/>
    <row r="383" s="7" customFormat="1" x14ac:dyDescent="0.2"/>
    <row r="384" s="7" customFormat="1" x14ac:dyDescent="0.2"/>
    <row r="385" s="7" customFormat="1" x14ac:dyDescent="0.2"/>
    <row r="386" s="7" customFormat="1" x14ac:dyDescent="0.2"/>
    <row r="387" s="7" customFormat="1" x14ac:dyDescent="0.2"/>
    <row r="388" s="7" customFormat="1" x14ac:dyDescent="0.2"/>
    <row r="389" s="7" customFormat="1" x14ac:dyDescent="0.2"/>
    <row r="390" s="7" customFormat="1" x14ac:dyDescent="0.2"/>
    <row r="391" s="7" customFormat="1" x14ac:dyDescent="0.2"/>
    <row r="392" s="7" customFormat="1" x14ac:dyDescent="0.2"/>
    <row r="393" s="7" customFormat="1" x14ac:dyDescent="0.2"/>
    <row r="394" s="7" customFormat="1" x14ac:dyDescent="0.2"/>
    <row r="395" s="7" customFormat="1" x14ac:dyDescent="0.2"/>
    <row r="396" s="7" customFormat="1" x14ac:dyDescent="0.2"/>
    <row r="397" s="7" customFormat="1" x14ac:dyDescent="0.2"/>
    <row r="398" s="7" customFormat="1" x14ac:dyDescent="0.2"/>
    <row r="399" s="7" customFormat="1" x14ac:dyDescent="0.2"/>
    <row r="400" s="7" customFormat="1" x14ac:dyDescent="0.2"/>
    <row r="401" s="7" customFormat="1" x14ac:dyDescent="0.2"/>
    <row r="402" s="7" customFormat="1" x14ac:dyDescent="0.2"/>
    <row r="403" s="7" customFormat="1" x14ac:dyDescent="0.2"/>
    <row r="404" s="7" customFormat="1" x14ac:dyDescent="0.2"/>
    <row r="405" s="7" customFormat="1" x14ac:dyDescent="0.2"/>
    <row r="406" s="7" customFormat="1" x14ac:dyDescent="0.2"/>
    <row r="407" s="7" customFormat="1" x14ac:dyDescent="0.2"/>
    <row r="408" s="7" customFormat="1" x14ac:dyDescent="0.2"/>
    <row r="409" s="7" customFormat="1" x14ac:dyDescent="0.2"/>
    <row r="410" s="7" customFormat="1" x14ac:dyDescent="0.2"/>
    <row r="411" s="7" customFormat="1" x14ac:dyDescent="0.2"/>
    <row r="412" s="7" customFormat="1" x14ac:dyDescent="0.2"/>
    <row r="413" s="7" customFormat="1" x14ac:dyDescent="0.2"/>
    <row r="414" s="7" customFormat="1" x14ac:dyDescent="0.2"/>
    <row r="415" s="7" customFormat="1" x14ac:dyDescent="0.2"/>
    <row r="416" s="7" customFormat="1" x14ac:dyDescent="0.2"/>
    <row r="417" s="7" customFormat="1" x14ac:dyDescent="0.2"/>
    <row r="418" s="7" customFormat="1" x14ac:dyDescent="0.2"/>
    <row r="419" s="7" customFormat="1" x14ac:dyDescent="0.2"/>
    <row r="420" s="7" customFormat="1" x14ac:dyDescent="0.2"/>
    <row r="421" s="7" customFormat="1" x14ac:dyDescent="0.2"/>
    <row r="422" s="7" customFormat="1" x14ac:dyDescent="0.2"/>
    <row r="423" s="7" customFormat="1" x14ac:dyDescent="0.2"/>
    <row r="424" s="7" customFormat="1" x14ac:dyDescent="0.2"/>
    <row r="425" s="7" customFormat="1" x14ac:dyDescent="0.2"/>
    <row r="426" s="7" customFormat="1" x14ac:dyDescent="0.2"/>
    <row r="427" s="7" customFormat="1" x14ac:dyDescent="0.2"/>
    <row r="428" s="7" customFormat="1" x14ac:dyDescent="0.2"/>
    <row r="429" s="7" customFormat="1" x14ac:dyDescent="0.2"/>
    <row r="430" s="7" customFormat="1" x14ac:dyDescent="0.2"/>
    <row r="431" s="7" customFormat="1" x14ac:dyDescent="0.2"/>
    <row r="432" s="7" customFormat="1" x14ac:dyDescent="0.2"/>
    <row r="433" s="7" customFormat="1" x14ac:dyDescent="0.2"/>
    <row r="434" s="7" customFormat="1" x14ac:dyDescent="0.2"/>
    <row r="435" s="7" customFormat="1" x14ac:dyDescent="0.2"/>
    <row r="436" s="7" customFormat="1" x14ac:dyDescent="0.2"/>
    <row r="437" s="7" customFormat="1" x14ac:dyDescent="0.2"/>
    <row r="438" s="7" customFormat="1" x14ac:dyDescent="0.2"/>
    <row r="439" s="7" customFormat="1" x14ac:dyDescent="0.2"/>
    <row r="440" s="7" customFormat="1" x14ac:dyDescent="0.2"/>
    <row r="441" s="7" customFormat="1" x14ac:dyDescent="0.2"/>
    <row r="442" s="7" customFormat="1" x14ac:dyDescent="0.2"/>
    <row r="443" s="7" customFormat="1" x14ac:dyDescent="0.2"/>
    <row r="444" s="7" customFormat="1" x14ac:dyDescent="0.2"/>
    <row r="445" s="7" customFormat="1" x14ac:dyDescent="0.2"/>
    <row r="446" s="7" customFormat="1" x14ac:dyDescent="0.2"/>
    <row r="447" s="7" customFormat="1" x14ac:dyDescent="0.2"/>
    <row r="448" s="7" customFormat="1" x14ac:dyDescent="0.2"/>
    <row r="449" s="7" customFormat="1" x14ac:dyDescent="0.2"/>
    <row r="450" s="7" customFormat="1" x14ac:dyDescent="0.2"/>
    <row r="451" s="7" customFormat="1" x14ac:dyDescent="0.2"/>
    <row r="452" s="7" customFormat="1" x14ac:dyDescent="0.2"/>
    <row r="453" s="7" customFormat="1" x14ac:dyDescent="0.2"/>
    <row r="454" s="7" customFormat="1" x14ac:dyDescent="0.2"/>
    <row r="455" s="7" customFormat="1" x14ac:dyDescent="0.2"/>
    <row r="456" s="7" customFormat="1" x14ac:dyDescent="0.2"/>
    <row r="457" s="7" customFormat="1" x14ac:dyDescent="0.2"/>
    <row r="458" s="7" customFormat="1" x14ac:dyDescent="0.2"/>
    <row r="459" s="7" customFormat="1" x14ac:dyDescent="0.2"/>
    <row r="460" s="7" customFormat="1" x14ac:dyDescent="0.2"/>
    <row r="461" s="7" customFormat="1" x14ac:dyDescent="0.2"/>
    <row r="462" s="7" customFormat="1" x14ac:dyDescent="0.2"/>
    <row r="463" s="7" customFormat="1" x14ac:dyDescent="0.2"/>
    <row r="464" s="7" customFormat="1" x14ac:dyDescent="0.2"/>
    <row r="465" s="7" customFormat="1" x14ac:dyDescent="0.2"/>
    <row r="466" s="7" customFormat="1" x14ac:dyDescent="0.2"/>
    <row r="467" s="7" customFormat="1" x14ac:dyDescent="0.2"/>
    <row r="468" s="7" customFormat="1" x14ac:dyDescent="0.2"/>
    <row r="469" s="7" customFormat="1" x14ac:dyDescent="0.2"/>
    <row r="470" s="7" customFormat="1" x14ac:dyDescent="0.2"/>
    <row r="471" s="7" customFormat="1" x14ac:dyDescent="0.2"/>
    <row r="472" s="7" customFormat="1" x14ac:dyDescent="0.2"/>
    <row r="473" s="7" customFormat="1" x14ac:dyDescent="0.2"/>
    <row r="474" s="7" customFormat="1" x14ac:dyDescent="0.2"/>
    <row r="475" s="7" customFormat="1" x14ac:dyDescent="0.2"/>
    <row r="476" s="7" customFormat="1" x14ac:dyDescent="0.2"/>
    <row r="477" s="7" customFormat="1" x14ac:dyDescent="0.2"/>
    <row r="478" s="7" customFormat="1" x14ac:dyDescent="0.2"/>
    <row r="479" s="7" customFormat="1" x14ac:dyDescent="0.2"/>
    <row r="480" s="7" customFormat="1" x14ac:dyDescent="0.2"/>
    <row r="481" s="7" customFormat="1" x14ac:dyDescent="0.2"/>
    <row r="482" s="7" customFormat="1" x14ac:dyDescent="0.2"/>
    <row r="483" s="7" customFormat="1" x14ac:dyDescent="0.2"/>
    <row r="484" s="7" customFormat="1" x14ac:dyDescent="0.2"/>
    <row r="485" s="7" customFormat="1" x14ac:dyDescent="0.2"/>
    <row r="486" s="7" customFormat="1" x14ac:dyDescent="0.2"/>
    <row r="487" s="7" customFormat="1" x14ac:dyDescent="0.2"/>
    <row r="488" s="7" customFormat="1" x14ac:dyDescent="0.2"/>
    <row r="489" s="7" customFormat="1" x14ac:dyDescent="0.2"/>
    <row r="490" s="7" customFormat="1" x14ac:dyDescent="0.2"/>
    <row r="491" s="7" customFormat="1" x14ac:dyDescent="0.2"/>
    <row r="492" s="7" customFormat="1" x14ac:dyDescent="0.2"/>
    <row r="493" s="7" customFormat="1" x14ac:dyDescent="0.2"/>
    <row r="494" s="7" customFormat="1" x14ac:dyDescent="0.2"/>
    <row r="495" s="7" customFormat="1" x14ac:dyDescent="0.2"/>
    <row r="496" s="7" customFormat="1" x14ac:dyDescent="0.2"/>
    <row r="497" s="7" customFormat="1" x14ac:dyDescent="0.2"/>
    <row r="498" s="7" customFormat="1" x14ac:dyDescent="0.2"/>
    <row r="499" s="7" customFormat="1" x14ac:dyDescent="0.2"/>
    <row r="500" s="7" customFormat="1" x14ac:dyDescent="0.2"/>
    <row r="501" s="7" customFormat="1" x14ac:dyDescent="0.2"/>
    <row r="502" s="7" customFormat="1" x14ac:dyDescent="0.2"/>
    <row r="503" s="7" customFormat="1" x14ac:dyDescent="0.2"/>
    <row r="504" s="7" customFormat="1" x14ac:dyDescent="0.2"/>
    <row r="505" s="7" customFormat="1" x14ac:dyDescent="0.2"/>
    <row r="506" s="7" customFormat="1" x14ac:dyDescent="0.2"/>
    <row r="507" s="7" customFormat="1" x14ac:dyDescent="0.2"/>
    <row r="508" s="7" customFormat="1" x14ac:dyDescent="0.2"/>
    <row r="509" s="7" customFormat="1" x14ac:dyDescent="0.2"/>
    <row r="510" s="7" customFormat="1" x14ac:dyDescent="0.2"/>
    <row r="511" s="7" customFormat="1" x14ac:dyDescent="0.2"/>
    <row r="512" s="7" customFormat="1" x14ac:dyDescent="0.2"/>
    <row r="513" s="7" customFormat="1" x14ac:dyDescent="0.2"/>
    <row r="514" s="7" customFormat="1" x14ac:dyDescent="0.2"/>
    <row r="515" s="7" customFormat="1" x14ac:dyDescent="0.2"/>
    <row r="516" s="7" customFormat="1" x14ac:dyDescent="0.2"/>
    <row r="517" s="7" customFormat="1" x14ac:dyDescent="0.2"/>
    <row r="518" s="7" customFormat="1" x14ac:dyDescent="0.2"/>
    <row r="519" s="7" customFormat="1" x14ac:dyDescent="0.2"/>
    <row r="520" s="7" customFormat="1" x14ac:dyDescent="0.2"/>
    <row r="521" s="7" customFormat="1" x14ac:dyDescent="0.2"/>
    <row r="522" s="7" customFormat="1" x14ac:dyDescent="0.2"/>
    <row r="523" s="7" customFormat="1" x14ac:dyDescent="0.2"/>
    <row r="524" s="7" customFormat="1" x14ac:dyDescent="0.2"/>
    <row r="525" s="7" customFormat="1" x14ac:dyDescent="0.2"/>
    <row r="526" s="7" customFormat="1" x14ac:dyDescent="0.2"/>
    <row r="527" s="7" customFormat="1" x14ac:dyDescent="0.2"/>
    <row r="528" s="7" customFormat="1" x14ac:dyDescent="0.2"/>
    <row r="529" s="7" customFormat="1" x14ac:dyDescent="0.2"/>
    <row r="530" s="7" customFormat="1" x14ac:dyDescent="0.2"/>
    <row r="531" s="7" customFormat="1" x14ac:dyDescent="0.2"/>
    <row r="532" s="7" customFormat="1" x14ac:dyDescent="0.2"/>
    <row r="533" s="7" customFormat="1" x14ac:dyDescent="0.2"/>
    <row r="534" s="7" customFormat="1" x14ac:dyDescent="0.2"/>
    <row r="535" s="7" customFormat="1" x14ac:dyDescent="0.2"/>
    <row r="536" s="7" customFormat="1" x14ac:dyDescent="0.2"/>
    <row r="537" s="7" customFormat="1" x14ac:dyDescent="0.2"/>
    <row r="538" s="7" customFormat="1" x14ac:dyDescent="0.2"/>
    <row r="539" s="7" customFormat="1" x14ac:dyDescent="0.2"/>
    <row r="540" s="7" customFormat="1" x14ac:dyDescent="0.2"/>
    <row r="541" s="7" customFormat="1" x14ac:dyDescent="0.2"/>
    <row r="542" s="7" customFormat="1" x14ac:dyDescent="0.2"/>
    <row r="543" s="7" customFormat="1" x14ac:dyDescent="0.2"/>
    <row r="544" s="7" customFormat="1" x14ac:dyDescent="0.2"/>
    <row r="545" s="7" customFormat="1" x14ac:dyDescent="0.2"/>
    <row r="546" s="7" customFormat="1" x14ac:dyDescent="0.2"/>
    <row r="547" s="7" customFormat="1" x14ac:dyDescent="0.2"/>
    <row r="548" s="7" customFormat="1" x14ac:dyDescent="0.2"/>
    <row r="549" s="7" customFormat="1" x14ac:dyDescent="0.2"/>
    <row r="550" s="7" customFormat="1" x14ac:dyDescent="0.2"/>
    <row r="551" s="7" customFormat="1" x14ac:dyDescent="0.2"/>
    <row r="552" s="7" customFormat="1" x14ac:dyDescent="0.2"/>
    <row r="553" s="7" customFormat="1" x14ac:dyDescent="0.2"/>
    <row r="554" s="7" customFormat="1" x14ac:dyDescent="0.2"/>
    <row r="555" s="7" customFormat="1" x14ac:dyDescent="0.2"/>
    <row r="556" s="7" customFormat="1" x14ac:dyDescent="0.2"/>
    <row r="557" s="7" customFormat="1" x14ac:dyDescent="0.2"/>
    <row r="558" s="7" customFormat="1" x14ac:dyDescent="0.2"/>
    <row r="559" s="7" customFormat="1" x14ac:dyDescent="0.2"/>
    <row r="560" s="7" customFormat="1" x14ac:dyDescent="0.2"/>
    <row r="561" s="7" customFormat="1" x14ac:dyDescent="0.2"/>
    <row r="562" s="7" customFormat="1" x14ac:dyDescent="0.2"/>
    <row r="563" s="7" customFormat="1" x14ac:dyDescent="0.2"/>
    <row r="564" s="7" customFormat="1" x14ac:dyDescent="0.2"/>
    <row r="565" s="7" customFormat="1" x14ac:dyDescent="0.2"/>
    <row r="566" s="7" customFormat="1" x14ac:dyDescent="0.2"/>
    <row r="567" s="7" customFormat="1" x14ac:dyDescent="0.2"/>
    <row r="568" s="7" customFormat="1" x14ac:dyDescent="0.2"/>
    <row r="569" s="7" customFormat="1" x14ac:dyDescent="0.2"/>
    <row r="570" s="7" customFormat="1" x14ac:dyDescent="0.2"/>
    <row r="571" s="7" customFormat="1" x14ac:dyDescent="0.2"/>
    <row r="572" s="7" customFormat="1" x14ac:dyDescent="0.2"/>
    <row r="573" s="7" customFormat="1" x14ac:dyDescent="0.2"/>
    <row r="574" s="7" customFormat="1" x14ac:dyDescent="0.2"/>
    <row r="575" s="7" customFormat="1" x14ac:dyDescent="0.2"/>
    <row r="576" s="7" customFormat="1" x14ac:dyDescent="0.2"/>
    <row r="577" s="7" customFormat="1" x14ac:dyDescent="0.2"/>
    <row r="578" s="7" customFormat="1" x14ac:dyDescent="0.2"/>
    <row r="579" s="7" customFormat="1" x14ac:dyDescent="0.2"/>
    <row r="580" s="7" customFormat="1" x14ac:dyDescent="0.2"/>
    <row r="581" s="7" customFormat="1" x14ac:dyDescent="0.2"/>
    <row r="582" s="7" customFormat="1" x14ac:dyDescent="0.2"/>
    <row r="583" s="7" customFormat="1" x14ac:dyDescent="0.2"/>
    <row r="584" s="7" customFormat="1" x14ac:dyDescent="0.2"/>
    <row r="585" s="7" customFormat="1" x14ac:dyDescent="0.2"/>
    <row r="586" s="7" customFormat="1" x14ac:dyDescent="0.2"/>
    <row r="587" s="7" customFormat="1" x14ac:dyDescent="0.2"/>
    <row r="588" s="7" customFormat="1" x14ac:dyDescent="0.2"/>
    <row r="589" s="7" customFormat="1" x14ac:dyDescent="0.2"/>
    <row r="590" s="7" customFormat="1" x14ac:dyDescent="0.2"/>
    <row r="591" s="7" customFormat="1" x14ac:dyDescent="0.2"/>
    <row r="592" s="7" customFormat="1" x14ac:dyDescent="0.2"/>
    <row r="593" s="7" customFormat="1" x14ac:dyDescent="0.2"/>
    <row r="594" s="7" customFormat="1" x14ac:dyDescent="0.2"/>
    <row r="595" s="7" customFormat="1" x14ac:dyDescent="0.2"/>
    <row r="596" s="7" customFormat="1" x14ac:dyDescent="0.2"/>
    <row r="597" s="7" customFormat="1" x14ac:dyDescent="0.2"/>
    <row r="598" s="7" customFormat="1" x14ac:dyDescent="0.2"/>
    <row r="599" s="7" customFormat="1" x14ac:dyDescent="0.2"/>
    <row r="600" s="7" customFormat="1" x14ac:dyDescent="0.2"/>
    <row r="601" s="7" customFormat="1" x14ac:dyDescent="0.2"/>
    <row r="602" s="7" customFormat="1" x14ac:dyDescent="0.2"/>
    <row r="603" s="7" customFormat="1" x14ac:dyDescent="0.2"/>
    <row r="604" s="7" customFormat="1" x14ac:dyDescent="0.2"/>
    <row r="605" s="7" customFormat="1" x14ac:dyDescent="0.2"/>
    <row r="606" s="7" customFormat="1" x14ac:dyDescent="0.2"/>
    <row r="607" s="7" customFormat="1" x14ac:dyDescent="0.2"/>
    <row r="608" s="7" customFormat="1" x14ac:dyDescent="0.2"/>
    <row r="609" s="7" customFormat="1" x14ac:dyDescent="0.2"/>
    <row r="610" s="7" customFormat="1" x14ac:dyDescent="0.2"/>
    <row r="611" s="7" customFormat="1" x14ac:dyDescent="0.2"/>
    <row r="612" s="7" customFormat="1" x14ac:dyDescent="0.2"/>
    <row r="613" s="7" customFormat="1" x14ac:dyDescent="0.2"/>
    <row r="614" s="7" customFormat="1" x14ac:dyDescent="0.2"/>
    <row r="615" s="7" customFormat="1" x14ac:dyDescent="0.2"/>
    <row r="616" s="7" customFormat="1" x14ac:dyDescent="0.2"/>
    <row r="617" s="7" customFormat="1" x14ac:dyDescent="0.2"/>
    <row r="618" s="7" customFormat="1" x14ac:dyDescent="0.2"/>
    <row r="619" s="7" customFormat="1" x14ac:dyDescent="0.2"/>
    <row r="620" s="7" customFormat="1" x14ac:dyDescent="0.2"/>
    <row r="621" s="7" customFormat="1" x14ac:dyDescent="0.2"/>
    <row r="622" s="7" customFormat="1" x14ac:dyDescent="0.2"/>
    <row r="623" s="7" customFormat="1" x14ac:dyDescent="0.2"/>
    <row r="624" s="7" customFormat="1" x14ac:dyDescent="0.2"/>
    <row r="625" s="7" customFormat="1" x14ac:dyDescent="0.2"/>
    <row r="626" s="7" customFormat="1" x14ac:dyDescent="0.2"/>
    <row r="627" s="7" customFormat="1" x14ac:dyDescent="0.2"/>
    <row r="628" s="7" customFormat="1" x14ac:dyDescent="0.2"/>
    <row r="629" s="7" customFormat="1" x14ac:dyDescent="0.2"/>
    <row r="630" s="7" customFormat="1" x14ac:dyDescent="0.2"/>
    <row r="631" s="7" customFormat="1" x14ac:dyDescent="0.2"/>
    <row r="632" s="7" customFormat="1" x14ac:dyDescent="0.2"/>
    <row r="633" s="7" customFormat="1" x14ac:dyDescent="0.2"/>
    <row r="634" s="7" customFormat="1" x14ac:dyDescent="0.2"/>
    <row r="635" s="7" customFormat="1" x14ac:dyDescent="0.2"/>
    <row r="636" s="7" customFormat="1" x14ac:dyDescent="0.2"/>
    <row r="637" s="7" customFormat="1" x14ac:dyDescent="0.2"/>
    <row r="638" s="7" customFormat="1" x14ac:dyDescent="0.2"/>
    <row r="639" s="7" customFormat="1" x14ac:dyDescent="0.2"/>
    <row r="640" s="7" customFormat="1" x14ac:dyDescent="0.2"/>
    <row r="641" s="7" customFormat="1" x14ac:dyDescent="0.2"/>
    <row r="642" s="7" customFormat="1" x14ac:dyDescent="0.2"/>
    <row r="643" s="7" customFormat="1" x14ac:dyDescent="0.2"/>
    <row r="644" s="7" customFormat="1" x14ac:dyDescent="0.2"/>
    <row r="645" s="7" customFormat="1" x14ac:dyDescent="0.2"/>
    <row r="646" s="7" customFormat="1" x14ac:dyDescent="0.2"/>
    <row r="647" s="7" customFormat="1" x14ac:dyDescent="0.2"/>
    <row r="648" s="7" customFormat="1" x14ac:dyDescent="0.2"/>
    <row r="649" s="7" customFormat="1" x14ac:dyDescent="0.2"/>
    <row r="650" s="7" customFormat="1" x14ac:dyDescent="0.2"/>
    <row r="651" s="7" customFormat="1" x14ac:dyDescent="0.2"/>
    <row r="652" s="7" customFormat="1" x14ac:dyDescent="0.2"/>
    <row r="653" s="7" customFormat="1" x14ac:dyDescent="0.2"/>
    <row r="654" s="7" customFormat="1" x14ac:dyDescent="0.2"/>
    <row r="655" s="7" customFormat="1" x14ac:dyDescent="0.2"/>
    <row r="656" s="7" customFormat="1" x14ac:dyDescent="0.2"/>
    <row r="657" s="7" customFormat="1" x14ac:dyDescent="0.2"/>
    <row r="658" s="7" customFormat="1" x14ac:dyDescent="0.2"/>
    <row r="659" s="7" customFormat="1" x14ac:dyDescent="0.2"/>
    <row r="660" s="7" customFormat="1" x14ac:dyDescent="0.2"/>
    <row r="661" s="7" customFormat="1" x14ac:dyDescent="0.2"/>
    <row r="662" s="7" customFormat="1" x14ac:dyDescent="0.2"/>
    <row r="663" s="7" customFormat="1" x14ac:dyDescent="0.2"/>
    <row r="664" s="7" customFormat="1" x14ac:dyDescent="0.2"/>
    <row r="665" s="7" customFormat="1" x14ac:dyDescent="0.2"/>
    <row r="666" s="7" customFormat="1" x14ac:dyDescent="0.2"/>
    <row r="667" s="7" customFormat="1" x14ac:dyDescent="0.2"/>
    <row r="668" s="7" customFormat="1" x14ac:dyDescent="0.2"/>
    <row r="669" s="7" customFormat="1" x14ac:dyDescent="0.2"/>
    <row r="670" s="7" customFormat="1" x14ac:dyDescent="0.2"/>
    <row r="671" s="7" customFormat="1" x14ac:dyDescent="0.2"/>
    <row r="672" s="7" customFormat="1" x14ac:dyDescent="0.2"/>
    <row r="673" s="7" customFormat="1" x14ac:dyDescent="0.2"/>
    <row r="674" s="7" customFormat="1" x14ac:dyDescent="0.2"/>
    <row r="675" s="7" customFormat="1" x14ac:dyDescent="0.2"/>
    <row r="676" s="7" customFormat="1" x14ac:dyDescent="0.2"/>
    <row r="677" s="7" customFormat="1" x14ac:dyDescent="0.2"/>
    <row r="678" s="7" customFormat="1" x14ac:dyDescent="0.2"/>
    <row r="679" s="7" customFormat="1" x14ac:dyDescent="0.2"/>
    <row r="680" s="7" customFormat="1" x14ac:dyDescent="0.2"/>
    <row r="681" s="7" customFormat="1" x14ac:dyDescent="0.2"/>
    <row r="682" s="7" customFormat="1" x14ac:dyDescent="0.2"/>
    <row r="683" s="7" customFormat="1" x14ac:dyDescent="0.2"/>
    <row r="684" s="7" customFormat="1" x14ac:dyDescent="0.2"/>
    <row r="685" s="7" customFormat="1" x14ac:dyDescent="0.2"/>
    <row r="686" s="7" customFormat="1" x14ac:dyDescent="0.2"/>
    <row r="687" s="7" customFormat="1" x14ac:dyDescent="0.2"/>
    <row r="688" s="7" customFormat="1" x14ac:dyDescent="0.2"/>
    <row r="689" s="7" customFormat="1" x14ac:dyDescent="0.2"/>
    <row r="690" s="7" customFormat="1" x14ac:dyDescent="0.2"/>
    <row r="691" s="7" customFormat="1" x14ac:dyDescent="0.2"/>
    <row r="692" s="7" customFormat="1" x14ac:dyDescent="0.2"/>
    <row r="693" s="7" customFormat="1" x14ac:dyDescent="0.2"/>
    <row r="694" s="7" customFormat="1" x14ac:dyDescent="0.2"/>
    <row r="695" s="7" customFormat="1" x14ac:dyDescent="0.2"/>
    <row r="696" s="7" customFormat="1" x14ac:dyDescent="0.2"/>
    <row r="697" s="7" customFormat="1" x14ac:dyDescent="0.2"/>
    <row r="698" s="7" customFormat="1" x14ac:dyDescent="0.2"/>
    <row r="699" s="7" customFormat="1" x14ac:dyDescent="0.2"/>
    <row r="700" s="7" customFormat="1" x14ac:dyDescent="0.2"/>
    <row r="701" s="7" customFormat="1" x14ac:dyDescent="0.2"/>
    <row r="702" s="7" customFormat="1" x14ac:dyDescent="0.2"/>
    <row r="703" s="7" customFormat="1" x14ac:dyDescent="0.2"/>
    <row r="704" s="7" customFormat="1" x14ac:dyDescent="0.2"/>
    <row r="705" s="7" customFormat="1" x14ac:dyDescent="0.2"/>
    <row r="706" s="7" customFormat="1" x14ac:dyDescent="0.2"/>
    <row r="707" s="7" customFormat="1" x14ac:dyDescent="0.2"/>
    <row r="708" s="7" customFormat="1" x14ac:dyDescent="0.2"/>
    <row r="709" s="7" customFormat="1" x14ac:dyDescent="0.2"/>
    <row r="710" s="7" customFormat="1" x14ac:dyDescent="0.2"/>
    <row r="711" s="7" customFormat="1" x14ac:dyDescent="0.2"/>
    <row r="712" s="7" customFormat="1" x14ac:dyDescent="0.2"/>
    <row r="713" s="7" customFormat="1" x14ac:dyDescent="0.2"/>
    <row r="714" s="7" customFormat="1" x14ac:dyDescent="0.2"/>
    <row r="715" s="7" customFormat="1" x14ac:dyDescent="0.2"/>
    <row r="716" s="7" customFormat="1" x14ac:dyDescent="0.2"/>
    <row r="717" s="7" customFormat="1" x14ac:dyDescent="0.2"/>
    <row r="718" s="7" customFormat="1" x14ac:dyDescent="0.2"/>
    <row r="719" s="7" customFormat="1" x14ac:dyDescent="0.2"/>
    <row r="720" s="7" customFormat="1" x14ac:dyDescent="0.2"/>
    <row r="721" s="7" customFormat="1" x14ac:dyDescent="0.2"/>
    <row r="722" s="7" customFormat="1" x14ac:dyDescent="0.2"/>
    <row r="723" s="7" customFormat="1" x14ac:dyDescent="0.2"/>
    <row r="724" s="7" customFormat="1" x14ac:dyDescent="0.2"/>
    <row r="725" s="7" customFormat="1" x14ac:dyDescent="0.2"/>
    <row r="726" s="7" customFormat="1" x14ac:dyDescent="0.2"/>
    <row r="727" s="7" customFormat="1" x14ac:dyDescent="0.2"/>
    <row r="728" s="7" customFormat="1" x14ac:dyDescent="0.2"/>
    <row r="729" s="7" customFormat="1" x14ac:dyDescent="0.2"/>
    <row r="730" s="7" customFormat="1" x14ac:dyDescent="0.2"/>
    <row r="731" s="7" customFormat="1" x14ac:dyDescent="0.2"/>
    <row r="732" s="7" customFormat="1" x14ac:dyDescent="0.2"/>
    <row r="733" s="7" customFormat="1" x14ac:dyDescent="0.2"/>
    <row r="734" s="7" customFormat="1" x14ac:dyDescent="0.2"/>
    <row r="735" s="7" customFormat="1" x14ac:dyDescent="0.2"/>
    <row r="736" s="7" customFormat="1" x14ac:dyDescent="0.2"/>
    <row r="737" s="7" customFormat="1" x14ac:dyDescent="0.2"/>
    <row r="738" s="7" customFormat="1" x14ac:dyDescent="0.2"/>
    <row r="739" s="7" customFormat="1" x14ac:dyDescent="0.2"/>
    <row r="740" s="7" customFormat="1" x14ac:dyDescent="0.2"/>
    <row r="741" s="7" customFormat="1" x14ac:dyDescent="0.2"/>
    <row r="742" s="7" customFormat="1" x14ac:dyDescent="0.2"/>
    <row r="743" s="7" customFormat="1" x14ac:dyDescent="0.2"/>
    <row r="744" s="7" customFormat="1" x14ac:dyDescent="0.2"/>
    <row r="745" s="7" customFormat="1" x14ac:dyDescent="0.2"/>
    <row r="746" s="7" customFormat="1" x14ac:dyDescent="0.2"/>
    <row r="747" s="7" customFormat="1" x14ac:dyDescent="0.2"/>
    <row r="748" s="7" customFormat="1" x14ac:dyDescent="0.2"/>
    <row r="749" s="7" customFormat="1" x14ac:dyDescent="0.2"/>
    <row r="750" s="7" customFormat="1" x14ac:dyDescent="0.2"/>
    <row r="751" s="7" customFormat="1" x14ac:dyDescent="0.2"/>
    <row r="752" s="7" customFormat="1" x14ac:dyDescent="0.2"/>
    <row r="753" s="7" customFormat="1" x14ac:dyDescent="0.2"/>
    <row r="754" s="7" customFormat="1" x14ac:dyDescent="0.2"/>
    <row r="755" s="7" customFormat="1" x14ac:dyDescent="0.2"/>
    <row r="756" s="7" customFormat="1" x14ac:dyDescent="0.2"/>
    <row r="757" s="7" customFormat="1" x14ac:dyDescent="0.2"/>
    <row r="758" s="7" customFormat="1" x14ac:dyDescent="0.2"/>
    <row r="759" s="7" customFormat="1" x14ac:dyDescent="0.2"/>
    <row r="760" s="7" customFormat="1" x14ac:dyDescent="0.2"/>
    <row r="761" s="7" customFormat="1" x14ac:dyDescent="0.2"/>
    <row r="762" s="7" customFormat="1" x14ac:dyDescent="0.2"/>
    <row r="763" s="7" customFormat="1" x14ac:dyDescent="0.2"/>
    <row r="764" s="7" customFormat="1" x14ac:dyDescent="0.2"/>
    <row r="765" s="7" customFormat="1" x14ac:dyDescent="0.2"/>
    <row r="766" s="7" customFormat="1" x14ac:dyDescent="0.2"/>
    <row r="767" s="7" customFormat="1" x14ac:dyDescent="0.2"/>
    <row r="768" s="7" customFormat="1" x14ac:dyDescent="0.2"/>
    <row r="769" s="7" customFormat="1" x14ac:dyDescent="0.2"/>
    <row r="770" s="7" customFormat="1" x14ac:dyDescent="0.2"/>
    <row r="771" s="7" customFormat="1" x14ac:dyDescent="0.2"/>
    <row r="772" s="7" customFormat="1" x14ac:dyDescent="0.2"/>
  </sheetData>
  <mergeCells count="18">
    <mergeCell ref="B52:H52"/>
    <mergeCell ref="D16:E16"/>
    <mergeCell ref="C38:F38"/>
    <mergeCell ref="F18:G18"/>
    <mergeCell ref="F17:G17"/>
    <mergeCell ref="C41:G41"/>
    <mergeCell ref="C42:G42"/>
    <mergeCell ref="F30:G31"/>
    <mergeCell ref="E30:E31"/>
    <mergeCell ref="C43:G43"/>
    <mergeCell ref="D26:E26"/>
    <mergeCell ref="B11:H11"/>
    <mergeCell ref="E7:G8"/>
    <mergeCell ref="C47:G49"/>
    <mergeCell ref="B51:H51"/>
    <mergeCell ref="F12:G13"/>
    <mergeCell ref="E9:G10"/>
    <mergeCell ref="F14:G14"/>
  </mergeCells>
  <hyperlinks>
    <hyperlink ref="E9" r:id="rId1" xr:uid="{BF85145B-DCC6-4F06-ADD0-1053ED5F48AB}"/>
  </hyperlinks>
  <pageMargins left="0.7" right="0.7" top="0.75" bottom="0.75" header="0.3" footer="0.3"/>
  <pageSetup orientation="portrait" r:id="rId2"/>
  <headerFooter>
    <oddHeader>&amp;L&amp;8ELECTRICITY REGULAR CONNECTION</oddHeader>
    <oddFooter>&amp;C&amp;"-,Negrita"SYNERGY LIGHT
 AGENTE DE SERVICIO</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Macro1">
                <anchor moveWithCells="1" sizeWithCells="1">
                  <from>
                    <xdr:col>5</xdr:col>
                    <xdr:colOff>161925</xdr:colOff>
                    <xdr:row>30</xdr:row>
                    <xdr:rowOff>9525</xdr:rowOff>
                  </from>
                  <to>
                    <xdr:col>6</xdr:col>
                    <xdr:colOff>809625</xdr:colOff>
                    <xdr:row>32</xdr:row>
                    <xdr:rowOff>95250</xdr:rowOff>
                  </to>
                </anchor>
              </controlPr>
            </control>
          </mc:Choice>
        </mc:AlternateContent>
        <mc:AlternateContent xmlns:mc="http://schemas.openxmlformats.org/markup-compatibility/2006">
          <mc:Choice Requires="x14">
            <control shapeId="1028" r:id="rId6" name="Button 4">
              <controlPr defaultSize="0" print="0" autoFill="0" autoPict="0" macro="[0]!LIMPÍAR">
                <anchor moveWithCells="1" sizeWithCells="1">
                  <from>
                    <xdr:col>3</xdr:col>
                    <xdr:colOff>209550</xdr:colOff>
                    <xdr:row>30</xdr:row>
                    <xdr:rowOff>38100</xdr:rowOff>
                  </from>
                  <to>
                    <xdr:col>3</xdr:col>
                    <xdr:colOff>1685925</xdr:colOff>
                    <xdr:row>32</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CF8FB18F-3101-48D8-BACD-3762DD093A6F}">
          <x14:formula1>
            <xm:f>PRODUCTOS!#REF!</xm:f>
          </x14:formula1>
          <xm:sqref>C24</xm:sqref>
        </x14:dataValidation>
        <x14:dataValidation type="list" allowBlank="1" showInputMessage="1" showErrorMessage="1" xr:uid="{FF165757-C040-4FC6-AFC9-38AF2D665948}">
          <x14:formula1>
            <xm:f>PRODUCTOS!$A:$A</xm:f>
          </x14:formula1>
          <xm:sqref>C22:C23</xm:sqref>
        </x14:dataValidation>
        <x14:dataValidation type="list" allowBlank="1" showInputMessage="1" showErrorMessage="1" xr:uid="{9F26CA5B-0D33-4165-9CE7-98239911CBED}">
          <x14:formula1>
            <xm:f>'BASE DE DATOS'!$B:$B</xm:f>
          </x14:formula1>
          <xm:sqref>D13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FDEA06-10E5-4F86-B4EB-7EE30B31DB4E}">
  <sheetPr codeName="Hoja10"/>
  <dimension ref="A1:M124"/>
  <sheetViews>
    <sheetView topLeftCell="A15" zoomScale="142" zoomScaleNormal="142" workbookViewId="0">
      <selection activeCell="D29" sqref="D29:E29"/>
    </sheetView>
  </sheetViews>
  <sheetFormatPr baseColWidth="10" defaultColWidth="11.42578125" defaultRowHeight="11.25" x14ac:dyDescent="0.2"/>
  <cols>
    <col min="1" max="1" width="4" style="7" customWidth="1"/>
    <col min="2" max="2" width="2.140625" style="7" customWidth="1"/>
    <col min="3" max="3" width="9.7109375" style="7" customWidth="1"/>
    <col min="4" max="4" width="28.85546875" style="7" customWidth="1"/>
    <col min="5" max="5" width="8" style="7" customWidth="1"/>
    <col min="6" max="6" width="11.5703125" style="7" customWidth="1"/>
    <col min="7" max="7" width="14" style="7" customWidth="1"/>
    <col min="8" max="8" width="4.85546875" style="7" customWidth="1"/>
    <col min="9" max="10" width="11.42578125" style="7"/>
    <col min="11" max="11" width="18.140625" style="7" customWidth="1"/>
    <col min="12" max="12" width="11.42578125" style="160"/>
    <col min="13" max="13" width="11.42578125" style="162"/>
    <col min="14" max="16384" width="11.42578125" style="7"/>
  </cols>
  <sheetData>
    <row r="1" spans="1:13" x14ac:dyDescent="0.2">
      <c r="A1" s="97"/>
      <c r="B1" s="97"/>
      <c r="C1" s="97"/>
      <c r="D1" s="97"/>
      <c r="E1" s="97"/>
      <c r="F1" s="97"/>
      <c r="G1" s="97"/>
      <c r="H1" s="97"/>
    </row>
    <row r="2" spans="1:13" x14ac:dyDescent="0.2">
      <c r="A2" s="97"/>
      <c r="B2" s="97"/>
      <c r="C2" s="97"/>
      <c r="D2" s="97"/>
      <c r="E2" s="97"/>
      <c r="F2" s="97"/>
      <c r="G2" s="97"/>
      <c r="H2" s="97"/>
    </row>
    <row r="3" spans="1:13" x14ac:dyDescent="0.2">
      <c r="A3" s="97"/>
      <c r="B3" s="97"/>
      <c r="C3" s="97"/>
      <c r="D3" s="97"/>
      <c r="E3" s="97"/>
      <c r="F3" s="97"/>
      <c r="G3" s="97"/>
      <c r="H3" s="97"/>
    </row>
    <row r="4" spans="1:13" s="9" customFormat="1" x14ac:dyDescent="0.2">
      <c r="A4" s="97"/>
      <c r="B4" s="97"/>
      <c r="C4" s="97"/>
      <c r="D4" s="97"/>
      <c r="E4" s="97"/>
      <c r="F4" s="97"/>
      <c r="G4" s="97"/>
      <c r="H4" s="97"/>
      <c r="L4" s="161"/>
      <c r="M4" s="163"/>
    </row>
    <row r="5" spans="1:13" s="9" customFormat="1" x14ac:dyDescent="0.2">
      <c r="A5" s="97"/>
      <c r="B5" s="97"/>
      <c r="C5" s="97"/>
      <c r="D5" s="97"/>
      <c r="E5" s="97"/>
      <c r="F5" s="97"/>
      <c r="G5" s="97"/>
      <c r="H5" s="97"/>
      <c r="L5" s="161"/>
      <c r="M5" s="163"/>
    </row>
    <row r="6" spans="1:13" s="9" customFormat="1" x14ac:dyDescent="0.2">
      <c r="A6" s="97"/>
      <c r="B6" s="97"/>
      <c r="C6" s="97"/>
      <c r="D6" s="98"/>
      <c r="E6" s="97"/>
      <c r="F6" s="97"/>
      <c r="G6" s="97"/>
      <c r="H6" s="97"/>
      <c r="L6" s="161"/>
      <c r="M6" s="163"/>
    </row>
    <row r="7" spans="1:13" s="9" customFormat="1" ht="12" customHeight="1" x14ac:dyDescent="0.2">
      <c r="A7" s="97"/>
      <c r="B7" s="97"/>
      <c r="C7" s="97"/>
      <c r="D7" s="98"/>
      <c r="E7" s="97"/>
      <c r="F7" s="97"/>
      <c r="G7" s="97"/>
      <c r="H7" s="97"/>
      <c r="L7" s="161"/>
      <c r="M7" s="163"/>
    </row>
    <row r="8" spans="1:13" s="9" customFormat="1" ht="15" customHeight="1" x14ac:dyDescent="0.2">
      <c r="A8" s="97"/>
      <c r="B8" s="97"/>
      <c r="C8" s="97"/>
      <c r="D8" s="98"/>
      <c r="E8" s="97"/>
      <c r="F8" s="97"/>
      <c r="G8" s="97"/>
      <c r="H8" s="97"/>
      <c r="J8" s="7"/>
      <c r="L8" s="161"/>
      <c r="M8" s="163"/>
    </row>
    <row r="9" spans="1:13" s="9" customFormat="1" ht="9.75" customHeight="1" x14ac:dyDescent="0.2">
      <c r="A9" s="97"/>
      <c r="B9" s="97"/>
      <c r="C9" s="97"/>
      <c r="D9" s="98"/>
      <c r="E9" s="97"/>
      <c r="F9" s="97"/>
      <c r="G9" s="97"/>
      <c r="H9" s="97"/>
      <c r="L9" s="161"/>
      <c r="M9" s="163"/>
    </row>
    <row r="10" spans="1:13" s="9" customFormat="1" ht="9.75" customHeight="1" x14ac:dyDescent="0.2">
      <c r="A10" s="97"/>
      <c r="B10" s="97"/>
      <c r="C10" s="97"/>
      <c r="D10" s="98"/>
      <c r="E10" s="211" t="s">
        <v>211</v>
      </c>
      <c r="F10" s="212"/>
      <c r="G10" s="212"/>
      <c r="H10" s="97"/>
      <c r="L10" s="161"/>
      <c r="M10" s="163"/>
    </row>
    <row r="11" spans="1:13" s="9" customFormat="1" ht="6.75" customHeight="1" x14ac:dyDescent="0.2">
      <c r="A11" s="97"/>
      <c r="B11" s="99"/>
      <c r="C11" s="100"/>
      <c r="D11" s="100"/>
      <c r="E11" s="212"/>
      <c r="F11" s="212"/>
      <c r="G11" s="212"/>
      <c r="H11" s="100"/>
      <c r="L11" s="161"/>
      <c r="M11" s="163"/>
    </row>
    <row r="12" spans="1:13" ht="9.75" customHeight="1" x14ac:dyDescent="0.2">
      <c r="A12" s="8"/>
      <c r="B12" s="96"/>
      <c r="C12" s="96"/>
      <c r="D12" s="96"/>
      <c r="E12" s="216" t="s">
        <v>298</v>
      </c>
      <c r="F12" s="217"/>
      <c r="G12" s="217"/>
      <c r="H12" s="96"/>
    </row>
    <row r="13" spans="1:13" ht="15" customHeight="1" x14ac:dyDescent="0.2">
      <c r="A13" s="8"/>
      <c r="B13" s="96"/>
      <c r="C13" s="96"/>
      <c r="D13" s="96"/>
      <c r="E13" s="217"/>
      <c r="F13" s="217"/>
      <c r="G13" s="217"/>
      <c r="H13" s="96"/>
    </row>
    <row r="14" spans="1:13" ht="14.25" customHeight="1" x14ac:dyDescent="0.2">
      <c r="A14" s="210"/>
      <c r="B14" s="210"/>
      <c r="C14" s="210"/>
      <c r="D14" s="210"/>
      <c r="E14" s="210"/>
      <c r="F14" s="210"/>
      <c r="G14" s="210"/>
      <c r="H14" s="210"/>
      <c r="M14" s="164"/>
    </row>
    <row r="15" spans="1:13" ht="9" customHeight="1" x14ac:dyDescent="0.2">
      <c r="A15" s="101"/>
      <c r="B15" s="101"/>
      <c r="C15" s="101"/>
      <c r="D15" s="101"/>
      <c r="E15" s="101"/>
      <c r="F15" s="215" t="str">
        <f>IF(D16="","",VLOOKUP(D16,TCLIENTES2[],9,FALSE))</f>
        <v>AGENTE CARMEN ORTIZ</v>
      </c>
      <c r="G15" s="215"/>
      <c r="H15" s="101"/>
    </row>
    <row r="16" spans="1:13" ht="15" customHeight="1" x14ac:dyDescent="0.2">
      <c r="A16" s="101"/>
      <c r="B16" s="101"/>
      <c r="C16" s="102" t="s">
        <v>13</v>
      </c>
      <c r="D16" s="103" t="s">
        <v>417</v>
      </c>
      <c r="E16" s="104"/>
      <c r="F16" s="215"/>
      <c r="G16" s="215"/>
      <c r="H16" s="101"/>
    </row>
    <row r="17" spans="1:11" ht="12.75" x14ac:dyDescent="0.2">
      <c r="A17" s="101"/>
      <c r="B17" s="101"/>
      <c r="C17" s="102" t="s">
        <v>304</v>
      </c>
      <c r="D17" s="101" t="str">
        <f>IF(D16="","",VLOOKUP(D16,TCLIENTES2[],2,FALSE))</f>
        <v>Jovan Barron</v>
      </c>
      <c r="E17" s="101"/>
      <c r="F17" s="232" t="str">
        <f>IF(D16="","",VLOOKUP(D16,TCLIENTES2[],6,FALSE))</f>
        <v>TARIFA KWH</v>
      </c>
      <c r="G17" s="232"/>
      <c r="H17" s="101"/>
      <c r="J17" s="231"/>
      <c r="K17" s="231"/>
    </row>
    <row r="18" spans="1:11" ht="15" customHeight="1" x14ac:dyDescent="0.2">
      <c r="A18" s="101"/>
      <c r="B18" s="101"/>
      <c r="C18" s="102" t="s">
        <v>305</v>
      </c>
      <c r="D18" s="104" t="str">
        <f>IF(D16="","",VLOOKUP(D16,TCLIENTES2[],3,FALSE))</f>
        <v>2209 bringhurst houston tx 77026</v>
      </c>
      <c r="E18" s="223" t="s">
        <v>361</v>
      </c>
      <c r="F18" s="223"/>
      <c r="G18" s="172">
        <v>2</v>
      </c>
      <c r="H18" s="101"/>
    </row>
    <row r="19" spans="1:11" x14ac:dyDescent="0.2">
      <c r="A19" s="101"/>
      <c r="B19" s="101"/>
      <c r="C19" s="102" t="s">
        <v>358</v>
      </c>
      <c r="D19" s="220">
        <f>IF(D16="","",VLOOKUP(D16,TCLIENTES2[],8,FALSE))</f>
        <v>45944</v>
      </c>
      <c r="E19" s="220"/>
      <c r="F19" s="102" t="s">
        <v>360</v>
      </c>
      <c r="G19" s="106">
        <f>D19+30</f>
        <v>45974</v>
      </c>
      <c r="H19" s="101"/>
    </row>
    <row r="20" spans="1:11" ht="15" customHeight="1" x14ac:dyDescent="0.2">
      <c r="A20" s="101"/>
      <c r="B20" s="101"/>
      <c r="C20" s="102" t="s">
        <v>359</v>
      </c>
      <c r="D20" s="103" t="str">
        <f>IF(D16="","",VLOOKUP(D16,TCLIENTES2[],5,FALSE))</f>
        <v>Barronjovan4@yahoo.com</v>
      </c>
      <c r="E20" s="107"/>
      <c r="F20" s="230" t="s">
        <v>34</v>
      </c>
      <c r="G20" s="230"/>
      <c r="H20" s="101"/>
    </row>
    <row r="21" spans="1:11" ht="15" customHeight="1" x14ac:dyDescent="0.2">
      <c r="A21" s="101"/>
      <c r="B21" s="101"/>
      <c r="C21" s="102" t="s">
        <v>309</v>
      </c>
      <c r="D21" s="108">
        <f>IF(D16="","",VLOOKUP(D16,TCLIENTES2[],4,FALSE))</f>
        <v>8323065314</v>
      </c>
      <c r="E21" s="109"/>
      <c r="F21" s="222">
        <f>IF(D16="","",VLOOKUP(D16,TCLIENTES2[],7,FALSE))</f>
        <v>1.00890102380405E+21</v>
      </c>
      <c r="G21" s="222"/>
      <c r="H21" s="101"/>
    </row>
    <row r="22" spans="1:11" x14ac:dyDescent="0.2">
      <c r="A22" s="101"/>
      <c r="B22" s="101"/>
      <c r="C22" s="101"/>
      <c r="D22" s="101"/>
      <c r="E22" s="101"/>
      <c r="F22" s="101"/>
      <c r="G22" s="101"/>
      <c r="H22" s="101"/>
    </row>
    <row r="23" spans="1:11" x14ac:dyDescent="0.2">
      <c r="A23" s="8"/>
      <c r="B23" s="8"/>
      <c r="C23" s="13" t="s">
        <v>362</v>
      </c>
      <c r="D23" s="14" t="s">
        <v>363</v>
      </c>
      <c r="E23" s="14" t="s">
        <v>364</v>
      </c>
      <c r="F23" s="14" t="s">
        <v>365</v>
      </c>
      <c r="G23" s="15" t="s">
        <v>9</v>
      </c>
      <c r="H23" s="8"/>
    </row>
    <row r="24" spans="1:11" x14ac:dyDescent="0.2">
      <c r="A24" s="101"/>
      <c r="B24" s="101"/>
      <c r="C24" s="110"/>
      <c r="D24" s="111" t="str">
        <f>IF(C24="","",VLOOKUP(C24,TPRODUCTOS[],2,FALSE))</f>
        <v/>
      </c>
      <c r="E24" s="112"/>
      <c r="F24" s="113"/>
      <c r="G24" s="16"/>
      <c r="H24" s="101"/>
    </row>
    <row r="25" spans="1:11" ht="11.25" customHeight="1" x14ac:dyDescent="0.2">
      <c r="A25" s="101"/>
      <c r="B25" s="101"/>
      <c r="C25" s="114" t="s">
        <v>43</v>
      </c>
      <c r="D25" s="111" t="str">
        <f>IF(C25="","",VLOOKUP(C25,TPRODUCTOS[],2,FALSE))</f>
        <v>SUMINISTRO,TRANSMISIÓN,ENERGIA TARIFA,CONEXIÓN</v>
      </c>
      <c r="E25" s="171">
        <f>IF(C25="","",VLOOKUP(C25,TPRODUCTOS[],3,FALSE))</f>
        <v>120</v>
      </c>
      <c r="F25" s="115"/>
      <c r="G25" s="34">
        <f>IF(C25="","",VLOOKUP(C25,TPRODUCTOS[],3,FALSE))</f>
        <v>120</v>
      </c>
      <c r="H25" s="101"/>
    </row>
    <row r="26" spans="1:11" ht="22.5" x14ac:dyDescent="0.2">
      <c r="A26" s="101"/>
      <c r="B26" s="101"/>
      <c r="C26" s="114"/>
      <c r="D26" s="111" t="str">
        <f>IF(C25="","",VLOOKUP(C25,TPRODUCTOS[],2,FALSE))</f>
        <v>SUMINISTRO,TRANSMISIÓN,ENERGIA TARIFA,CONEXIÓN</v>
      </c>
      <c r="E26" s="171">
        <v>30</v>
      </c>
      <c r="F26" s="115"/>
      <c r="G26" s="34" t="str">
        <f>IF(C26="","",VLOOKUP(C26,TPRODUCTOS[],3,FALSE))</f>
        <v/>
      </c>
      <c r="H26" s="101"/>
    </row>
    <row r="27" spans="1:11" x14ac:dyDescent="0.2">
      <c r="A27" s="101"/>
      <c r="B27" s="101"/>
      <c r="C27" s="114"/>
      <c r="D27" s="116"/>
      <c r="E27" s="112"/>
      <c r="F27" s="113"/>
      <c r="G27" s="34"/>
      <c r="H27" s="101"/>
    </row>
    <row r="28" spans="1:11" x14ac:dyDescent="0.2">
      <c r="A28" s="8"/>
      <c r="B28" s="8"/>
      <c r="C28" s="8"/>
      <c r="D28" s="8"/>
      <c r="E28" s="8"/>
      <c r="F28" s="119" t="s">
        <v>9</v>
      </c>
      <c r="G28" s="167">
        <f>SUM(G24:G27)</f>
        <v>120</v>
      </c>
      <c r="H28" s="8"/>
    </row>
    <row r="29" spans="1:11" ht="18.75" x14ac:dyDescent="0.3">
      <c r="A29" s="101"/>
      <c r="B29" s="101"/>
      <c r="C29" s="117" t="s">
        <v>10</v>
      </c>
      <c r="D29" s="229" t="e" cm="1">
        <f t="array" aca="1" ref="D29" ca="1">[1]!NumLetras(G32)</f>
        <v>#NAME?</v>
      </c>
      <c r="E29" s="229"/>
      <c r="F29" s="101"/>
      <c r="G29" s="101"/>
      <c r="H29" s="101"/>
    </row>
    <row r="30" spans="1:11" x14ac:dyDescent="0.2">
      <c r="A30" s="101"/>
      <c r="B30" s="101"/>
      <c r="C30" s="101"/>
      <c r="D30" s="101"/>
      <c r="E30" s="101"/>
      <c r="F30" s="173" t="s">
        <v>366</v>
      </c>
      <c r="G30" s="12">
        <f>SUM(G28-45)</f>
        <v>75</v>
      </c>
      <c r="H30" s="101"/>
    </row>
    <row r="31" spans="1:11" x14ac:dyDescent="0.2">
      <c r="A31" s="101"/>
      <c r="B31" s="101"/>
      <c r="C31" s="101"/>
      <c r="D31" s="102"/>
      <c r="E31" s="101"/>
      <c r="F31" s="121" t="s">
        <v>367</v>
      </c>
      <c r="G31" s="12">
        <f>+G32-G30</f>
        <v>45</v>
      </c>
      <c r="H31" s="101"/>
    </row>
    <row r="32" spans="1:11" ht="15" x14ac:dyDescent="0.2">
      <c r="A32" s="101"/>
      <c r="B32" s="101"/>
      <c r="C32" s="101"/>
      <c r="D32" s="118" t="s">
        <v>70</v>
      </c>
      <c r="E32" s="101"/>
      <c r="F32" s="175" t="s">
        <v>368</v>
      </c>
      <c r="G32" s="17">
        <f>+G28</f>
        <v>120</v>
      </c>
      <c r="H32" s="101"/>
    </row>
    <row r="33" spans="1:10" x14ac:dyDescent="0.2">
      <c r="A33" s="101"/>
      <c r="B33" s="101"/>
      <c r="C33" s="101"/>
      <c r="D33" s="101"/>
      <c r="E33" s="228" t="s">
        <v>69</v>
      </c>
      <c r="F33" s="226"/>
      <c r="G33" s="226"/>
      <c r="H33" s="101"/>
    </row>
    <row r="34" spans="1:10" x14ac:dyDescent="0.2">
      <c r="A34" s="101"/>
      <c r="B34" s="101"/>
      <c r="C34" s="101"/>
      <c r="D34" s="101"/>
      <c r="E34" s="228"/>
      <c r="F34" s="227"/>
      <c r="G34" s="227"/>
      <c r="H34" s="101"/>
    </row>
    <row r="35" spans="1:10" x14ac:dyDescent="0.2">
      <c r="B35" s="9"/>
      <c r="C35" s="9"/>
      <c r="D35" s="9"/>
      <c r="E35" s="9"/>
      <c r="F35" s="9"/>
      <c r="G35" s="123"/>
      <c r="H35" s="123"/>
    </row>
    <row r="36" spans="1:10" x14ac:dyDescent="0.2">
      <c r="B36" s="9"/>
      <c r="C36" s="9"/>
      <c r="D36" s="9"/>
      <c r="E36" s="9"/>
      <c r="F36" s="9"/>
      <c r="G36" s="123"/>
      <c r="H36" s="123"/>
      <c r="J36" s="174"/>
    </row>
    <row r="37" spans="1:10" x14ac:dyDescent="0.2">
      <c r="B37" s="9"/>
      <c r="C37" s="9"/>
      <c r="D37" s="9"/>
      <c r="E37" s="9"/>
      <c r="F37" s="9"/>
      <c r="G37" s="123"/>
      <c r="H37" s="123"/>
    </row>
    <row r="38" spans="1:10" x14ac:dyDescent="0.2">
      <c r="B38" s="9"/>
      <c r="C38" s="9"/>
      <c r="D38" s="9"/>
      <c r="E38" s="9"/>
      <c r="F38" s="9"/>
      <c r="G38" s="123"/>
      <c r="H38" s="123"/>
    </row>
    <row r="39" spans="1:10" x14ac:dyDescent="0.2">
      <c r="B39" s="9"/>
      <c r="C39" s="9"/>
      <c r="D39" s="9"/>
      <c r="E39" s="9"/>
      <c r="F39" s="9"/>
      <c r="G39" s="123"/>
      <c r="H39" s="123"/>
    </row>
    <row r="40" spans="1:10" ht="15.75" customHeight="1" x14ac:dyDescent="0.2">
      <c r="B40" s="9"/>
      <c r="C40" s="9"/>
      <c r="D40" s="9"/>
      <c r="E40" s="9"/>
      <c r="F40" s="9"/>
      <c r="G40" s="123"/>
      <c r="H40" s="123"/>
    </row>
    <row r="41" spans="1:10" x14ac:dyDescent="0.2">
      <c r="B41" s="9"/>
      <c r="C41" s="221"/>
      <c r="D41" s="221"/>
      <c r="E41" s="221"/>
      <c r="F41" s="221"/>
      <c r="G41" s="123"/>
      <c r="H41" s="123"/>
    </row>
    <row r="42" spans="1:10" x14ac:dyDescent="0.2">
      <c r="B42" s="9"/>
      <c r="C42" s="9"/>
      <c r="D42" s="9"/>
      <c r="E42" s="9"/>
      <c r="F42" s="9"/>
      <c r="G42" s="123"/>
      <c r="H42" s="123"/>
    </row>
    <row r="43" spans="1:10" x14ac:dyDescent="0.2">
      <c r="B43" s="9"/>
      <c r="C43" s="22"/>
      <c r="D43" s="9"/>
      <c r="E43" s="9"/>
      <c r="F43" s="9"/>
      <c r="G43" s="123"/>
      <c r="H43" s="123"/>
    </row>
    <row r="44" spans="1:10" x14ac:dyDescent="0.2">
      <c r="B44" s="9"/>
      <c r="C44" s="224" t="s">
        <v>59</v>
      </c>
      <c r="D44" s="225"/>
      <c r="E44" s="225"/>
      <c r="F44" s="225"/>
      <c r="G44" s="225"/>
      <c r="H44" s="10"/>
    </row>
    <row r="45" spans="1:10" x14ac:dyDescent="0.2">
      <c r="B45" s="9"/>
      <c r="C45" s="224" t="s">
        <v>86</v>
      </c>
      <c r="D45" s="225"/>
      <c r="E45" s="225"/>
      <c r="F45" s="225"/>
      <c r="G45" s="225"/>
      <c r="H45" s="10"/>
    </row>
    <row r="46" spans="1:10" x14ac:dyDescent="0.2">
      <c r="B46" s="9"/>
      <c r="C46" s="224" t="s">
        <v>23</v>
      </c>
      <c r="D46" s="224"/>
      <c r="E46" s="224"/>
      <c r="F46" s="224"/>
      <c r="G46" s="224"/>
      <c r="H46" s="10"/>
    </row>
    <row r="47" spans="1:10" x14ac:dyDescent="0.2">
      <c r="B47" s="9"/>
      <c r="C47" s="169"/>
      <c r="D47" s="170"/>
      <c r="E47" s="170"/>
      <c r="F47" s="170"/>
      <c r="G47" s="170"/>
      <c r="H47" s="10"/>
    </row>
    <row r="48" spans="1:10" x14ac:dyDescent="0.2">
      <c r="B48" s="9"/>
      <c r="C48" s="169"/>
      <c r="D48" s="170"/>
      <c r="E48" s="170"/>
      <c r="F48" s="170"/>
      <c r="G48" s="170"/>
      <c r="H48" s="10"/>
    </row>
    <row r="49" spans="1:13" ht="12.75" customHeight="1" x14ac:dyDescent="0.2">
      <c r="A49" s="8"/>
      <c r="B49" s="8"/>
      <c r="C49" s="8"/>
      <c r="D49" s="8"/>
      <c r="E49" s="8"/>
      <c r="F49" s="8"/>
      <c r="G49" s="8"/>
      <c r="H49" s="8"/>
    </row>
    <row r="50" spans="1:13" ht="12.75" customHeight="1" x14ac:dyDescent="0.2">
      <c r="B50" s="9"/>
      <c r="C50" s="213" t="s">
        <v>369</v>
      </c>
      <c r="D50" s="213"/>
      <c r="E50" s="213"/>
      <c r="F50" s="213"/>
      <c r="G50" s="213"/>
      <c r="H50" s="10"/>
    </row>
    <row r="51" spans="1:13" x14ac:dyDescent="0.2">
      <c r="B51" s="9"/>
      <c r="C51" s="213"/>
      <c r="D51" s="213"/>
      <c r="E51" s="213"/>
      <c r="F51" s="213"/>
      <c r="G51" s="213"/>
      <c r="H51" s="10"/>
    </row>
    <row r="52" spans="1:13" x14ac:dyDescent="0.2">
      <c r="B52" s="9"/>
      <c r="C52" s="213"/>
      <c r="D52" s="213"/>
      <c r="E52" s="213"/>
      <c r="F52" s="213"/>
      <c r="G52" s="213"/>
      <c r="H52" s="10"/>
    </row>
    <row r="53" spans="1:13" ht="15" customHeight="1" x14ac:dyDescent="0.2">
      <c r="B53" s="9"/>
      <c r="C53" s="73"/>
      <c r="D53" s="73"/>
      <c r="E53" s="73"/>
      <c r="F53" s="73"/>
      <c r="G53" s="73"/>
      <c r="H53" s="10"/>
    </row>
    <row r="54" spans="1:13" ht="15" customHeight="1" x14ac:dyDescent="0.2">
      <c r="B54" s="214"/>
      <c r="C54" s="214"/>
      <c r="D54" s="214"/>
      <c r="E54" s="214"/>
      <c r="F54" s="214"/>
      <c r="G54" s="214"/>
      <c r="H54" s="214"/>
    </row>
    <row r="55" spans="1:13" x14ac:dyDescent="0.2">
      <c r="B55" s="219" t="s">
        <v>24</v>
      </c>
      <c r="C55" s="219"/>
      <c r="D55" s="219"/>
      <c r="E55" s="219"/>
      <c r="F55" s="219"/>
      <c r="G55" s="219"/>
      <c r="H55" s="219"/>
    </row>
    <row r="56" spans="1:13" x14ac:dyDescent="0.2">
      <c r="B56" s="9"/>
      <c r="H56" s="10"/>
    </row>
    <row r="57" spans="1:13" ht="11.25" customHeight="1" x14ac:dyDescent="0.2">
      <c r="B57" s="9"/>
      <c r="H57" s="10"/>
    </row>
    <row r="58" spans="1:13" x14ac:dyDescent="0.2">
      <c r="B58" s="9"/>
      <c r="H58" s="73"/>
    </row>
    <row r="59" spans="1:13" x14ac:dyDescent="0.2">
      <c r="B59" s="9"/>
      <c r="H59" s="73"/>
    </row>
    <row r="60" spans="1:13" x14ac:dyDescent="0.2">
      <c r="B60" s="9"/>
      <c r="H60" s="73"/>
    </row>
    <row r="61" spans="1:13" x14ac:dyDescent="0.2">
      <c r="B61" s="9"/>
      <c r="H61" s="73"/>
    </row>
    <row r="62" spans="1:13" s="9" customFormat="1" x14ac:dyDescent="0.2">
      <c r="A62" s="7"/>
      <c r="C62" s="7"/>
      <c r="D62" s="7"/>
      <c r="E62" s="7"/>
      <c r="F62" s="7"/>
      <c r="G62" s="7"/>
      <c r="H62" s="72"/>
      <c r="L62" s="161"/>
      <c r="M62" s="163"/>
    </row>
    <row r="63" spans="1:13" hidden="1" x14ac:dyDescent="0.2">
      <c r="A63" s="9"/>
      <c r="B63" s="9"/>
      <c r="H63" s="72"/>
    </row>
    <row r="64" spans="1:13" hidden="1" x14ac:dyDescent="0.2">
      <c r="B64" s="9"/>
    </row>
    <row r="65" spans="2:2" hidden="1" x14ac:dyDescent="0.2">
      <c r="B65" s="9"/>
    </row>
    <row r="66" spans="2:2" hidden="1" x14ac:dyDescent="0.2">
      <c r="B66" s="9"/>
    </row>
    <row r="67" spans="2:2" hidden="1" x14ac:dyDescent="0.2">
      <c r="B67" s="9"/>
    </row>
    <row r="68" spans="2:2" hidden="1" x14ac:dyDescent="0.2">
      <c r="B68" s="9"/>
    </row>
    <row r="69" spans="2:2" hidden="1" x14ac:dyDescent="0.2">
      <c r="B69" s="9"/>
    </row>
    <row r="70" spans="2:2" hidden="1" x14ac:dyDescent="0.2">
      <c r="B70" s="9"/>
    </row>
    <row r="71" spans="2:2" hidden="1" x14ac:dyDescent="0.2">
      <c r="B71" s="9"/>
    </row>
    <row r="72" spans="2:2" hidden="1" x14ac:dyDescent="0.2">
      <c r="B72" s="9"/>
    </row>
    <row r="73" spans="2:2" hidden="1" x14ac:dyDescent="0.2">
      <c r="B73" s="9"/>
    </row>
    <row r="74" spans="2:2" hidden="1" x14ac:dyDescent="0.2">
      <c r="B74" s="9"/>
    </row>
    <row r="75" spans="2:2" hidden="1" x14ac:dyDescent="0.2">
      <c r="B75" s="9"/>
    </row>
    <row r="76" spans="2:2" hidden="1" x14ac:dyDescent="0.2">
      <c r="B76" s="9"/>
    </row>
    <row r="77" spans="2:2" hidden="1" x14ac:dyDescent="0.2">
      <c r="B77" s="9"/>
    </row>
    <row r="78" spans="2:2" hidden="1" x14ac:dyDescent="0.2">
      <c r="B78" s="9"/>
    </row>
    <row r="79" spans="2:2" hidden="1" x14ac:dyDescent="0.2">
      <c r="B79" s="9"/>
    </row>
    <row r="80" spans="2:2" hidden="1" x14ac:dyDescent="0.2">
      <c r="B80" s="9"/>
    </row>
    <row r="81" spans="2:2" hidden="1" x14ac:dyDescent="0.2">
      <c r="B81" s="9"/>
    </row>
    <row r="82" spans="2:2" hidden="1" x14ac:dyDescent="0.2">
      <c r="B82" s="9"/>
    </row>
    <row r="83" spans="2:2" hidden="1" x14ac:dyDescent="0.2">
      <c r="B83" s="9"/>
    </row>
    <row r="84" spans="2:2" hidden="1" x14ac:dyDescent="0.2">
      <c r="B84" s="9"/>
    </row>
    <row r="85" spans="2:2" hidden="1" x14ac:dyDescent="0.2">
      <c r="B85" s="9"/>
    </row>
    <row r="86" spans="2:2" hidden="1" x14ac:dyDescent="0.2">
      <c r="B86" s="9"/>
    </row>
    <row r="87" spans="2:2" hidden="1" x14ac:dyDescent="0.2">
      <c r="B87" s="9"/>
    </row>
    <row r="88" spans="2:2" hidden="1" x14ac:dyDescent="0.2">
      <c r="B88" s="9"/>
    </row>
    <row r="89" spans="2:2" hidden="1" x14ac:dyDescent="0.2">
      <c r="B89" s="9"/>
    </row>
    <row r="90" spans="2:2" hidden="1" x14ac:dyDescent="0.2">
      <c r="B90" s="9"/>
    </row>
    <row r="91" spans="2:2" hidden="1" x14ac:dyDescent="0.2">
      <c r="B91" s="9"/>
    </row>
    <row r="92" spans="2:2" hidden="1" x14ac:dyDescent="0.2">
      <c r="B92" s="9"/>
    </row>
    <row r="93" spans="2:2" hidden="1" x14ac:dyDescent="0.2">
      <c r="B93" s="9"/>
    </row>
    <row r="94" spans="2:2" hidden="1" x14ac:dyDescent="0.2">
      <c r="B94" s="9"/>
    </row>
    <row r="95" spans="2:2" hidden="1" x14ac:dyDescent="0.2">
      <c r="B95" s="9"/>
    </row>
    <row r="96" spans="2:2" hidden="1" x14ac:dyDescent="0.2">
      <c r="B96" s="9"/>
    </row>
    <row r="97" spans="2:2" hidden="1" x14ac:dyDescent="0.2">
      <c r="B97" s="9"/>
    </row>
    <row r="98" spans="2:2" hidden="1" x14ac:dyDescent="0.2">
      <c r="B98" s="9"/>
    </row>
    <row r="99" spans="2:2" hidden="1" x14ac:dyDescent="0.2">
      <c r="B99" s="9"/>
    </row>
    <row r="100" spans="2:2" hidden="1" x14ac:dyDescent="0.2">
      <c r="B100" s="9"/>
    </row>
    <row r="101" spans="2:2" hidden="1" x14ac:dyDescent="0.2">
      <c r="B101" s="9"/>
    </row>
    <row r="102" spans="2:2" hidden="1" x14ac:dyDescent="0.2">
      <c r="B102" s="9"/>
    </row>
    <row r="103" spans="2:2" hidden="1" x14ac:dyDescent="0.2">
      <c r="B103" s="9"/>
    </row>
    <row r="104" spans="2:2" hidden="1" x14ac:dyDescent="0.2">
      <c r="B104" s="9"/>
    </row>
    <row r="105" spans="2:2" hidden="1" x14ac:dyDescent="0.2">
      <c r="B105" s="9"/>
    </row>
    <row r="106" spans="2:2" hidden="1" x14ac:dyDescent="0.2">
      <c r="B106" s="9"/>
    </row>
    <row r="107" spans="2:2" hidden="1" x14ac:dyDescent="0.2">
      <c r="B107" s="9"/>
    </row>
    <row r="108" spans="2:2" hidden="1" x14ac:dyDescent="0.2">
      <c r="B108" s="9"/>
    </row>
    <row r="109" spans="2:2" hidden="1" x14ac:dyDescent="0.2">
      <c r="B109" s="9"/>
    </row>
    <row r="110" spans="2:2" hidden="1" x14ac:dyDescent="0.2">
      <c r="B110" s="9"/>
    </row>
    <row r="111" spans="2:2" hidden="1" x14ac:dyDescent="0.2">
      <c r="B111" s="9"/>
    </row>
    <row r="112" spans="2:2" hidden="1" x14ac:dyDescent="0.2">
      <c r="B112" s="9"/>
    </row>
    <row r="113" spans="2:2" hidden="1" x14ac:dyDescent="0.2">
      <c r="B113" s="9"/>
    </row>
    <row r="114" spans="2:2" hidden="1" x14ac:dyDescent="0.2">
      <c r="B114" s="9"/>
    </row>
    <row r="115" spans="2:2" hidden="1" x14ac:dyDescent="0.2">
      <c r="B115" s="9"/>
    </row>
    <row r="116" spans="2:2" hidden="1" x14ac:dyDescent="0.2">
      <c r="B116" s="9"/>
    </row>
    <row r="117" spans="2:2" hidden="1" x14ac:dyDescent="0.2">
      <c r="B117" s="9"/>
    </row>
    <row r="118" spans="2:2" hidden="1" x14ac:dyDescent="0.2">
      <c r="B118" s="9"/>
    </row>
    <row r="119" spans="2:2" hidden="1" x14ac:dyDescent="0.2">
      <c r="B119" s="9"/>
    </row>
    <row r="120" spans="2:2" hidden="1" x14ac:dyDescent="0.2">
      <c r="B120" s="9"/>
    </row>
    <row r="121" spans="2:2" hidden="1" x14ac:dyDescent="0.2">
      <c r="B121" s="9"/>
    </row>
    <row r="122" spans="2:2" hidden="1" x14ac:dyDescent="0.2">
      <c r="B122" s="9"/>
    </row>
    <row r="123" spans="2:2" hidden="1" x14ac:dyDescent="0.2"/>
    <row r="124" spans="2:2" hidden="1" x14ac:dyDescent="0.2"/>
  </sheetData>
  <mergeCells count="20">
    <mergeCell ref="E10:G11"/>
    <mergeCell ref="E12:G13"/>
    <mergeCell ref="A14:H14"/>
    <mergeCell ref="F15:G16"/>
    <mergeCell ref="J17:K17"/>
    <mergeCell ref="F17:G17"/>
    <mergeCell ref="D19:E19"/>
    <mergeCell ref="E18:F18"/>
    <mergeCell ref="B55:H55"/>
    <mergeCell ref="F20:G20"/>
    <mergeCell ref="F21:G21"/>
    <mergeCell ref="D29:E29"/>
    <mergeCell ref="E33:E34"/>
    <mergeCell ref="F33:G34"/>
    <mergeCell ref="C41:F41"/>
    <mergeCell ref="C44:G44"/>
    <mergeCell ref="C45:G45"/>
    <mergeCell ref="C46:G46"/>
    <mergeCell ref="C50:G52"/>
    <mergeCell ref="B54:H54"/>
  </mergeCells>
  <hyperlinks>
    <hyperlink ref="E12" r:id="rId1" xr:uid="{D80E83F2-9FCC-4A94-8AB2-9802FEEE403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Macro1">
                <anchor moveWithCells="1" sizeWithCells="1">
                  <from>
                    <xdr:col>5</xdr:col>
                    <xdr:colOff>161925</xdr:colOff>
                    <xdr:row>33</xdr:row>
                    <xdr:rowOff>9525</xdr:rowOff>
                  </from>
                  <to>
                    <xdr:col>6</xdr:col>
                    <xdr:colOff>809625</xdr:colOff>
                    <xdr:row>35</xdr:row>
                    <xdr:rowOff>95250</xdr:rowOff>
                  </to>
                </anchor>
              </controlPr>
            </control>
          </mc:Choice>
        </mc:AlternateContent>
        <mc:AlternateContent xmlns:mc="http://schemas.openxmlformats.org/markup-compatibility/2006">
          <mc:Choice Requires="x14">
            <control shapeId="7170" r:id="rId6" name="Button 2">
              <controlPr defaultSize="0" print="0" autoFill="0" autoPict="0" macro="[0]!LIMPÍAR">
                <anchor moveWithCells="1" sizeWithCells="1">
                  <from>
                    <xdr:col>3</xdr:col>
                    <xdr:colOff>209550</xdr:colOff>
                    <xdr:row>33</xdr:row>
                    <xdr:rowOff>38100</xdr:rowOff>
                  </from>
                  <to>
                    <xdr:col>3</xdr:col>
                    <xdr:colOff>1685925</xdr:colOff>
                    <xdr:row>35</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BCBBA56F-84EE-4BFF-81E4-F4BEA00A6EA3}">
          <x14:formula1>
            <xm:f>PRODUCTOS!$A:$A</xm:f>
          </x14:formula1>
          <xm:sqref>C25:C26</xm:sqref>
        </x14:dataValidation>
        <x14:dataValidation type="list" allowBlank="1" showInputMessage="1" showErrorMessage="1" xr:uid="{5676F8A2-5E85-4253-A1F5-99C8A2B61026}">
          <x14:formula1>
            <xm:f>PRODUCTOS!#REF!</xm:f>
          </x14:formula1>
          <xm:sqref>C27</xm:sqref>
        </x14:dataValidation>
        <x14:dataValidation type="list" allowBlank="1" showInputMessage="1" showErrorMessage="1" xr:uid="{32E8E231-1122-4B21-B9C5-16E1E50E2CFD}">
          <x14:formula1>
            <xm:f>'BASE DE DATOS'!$B:$B</xm:f>
          </x14:formula1>
          <xm:sqref>D16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FD5631-7029-4937-8549-3EE58FBCCFC5}">
  <sheetPr codeName="Hoja8"/>
  <dimension ref="A1:A796"/>
  <sheetViews>
    <sheetView workbookViewId="0">
      <selection sqref="A1:XFD1"/>
    </sheetView>
  </sheetViews>
  <sheetFormatPr baseColWidth="10" defaultRowHeight="15" x14ac:dyDescent="0.25"/>
  <sheetData>
    <row r="1" spans="1:1" x14ac:dyDescent="0.25">
      <c r="A1">
        <v>205</v>
      </c>
    </row>
    <row r="2" spans="1:1" x14ac:dyDescent="0.25">
      <c r="A2">
        <v>206</v>
      </c>
    </row>
    <row r="3" spans="1:1" x14ac:dyDescent="0.25">
      <c r="A3">
        <v>207</v>
      </c>
    </row>
    <row r="4" spans="1:1" x14ac:dyDescent="0.25">
      <c r="A4">
        <v>208</v>
      </c>
    </row>
    <row r="5" spans="1:1" x14ac:dyDescent="0.25">
      <c r="A5">
        <v>209</v>
      </c>
    </row>
    <row r="6" spans="1:1" x14ac:dyDescent="0.25">
      <c r="A6">
        <v>210</v>
      </c>
    </row>
    <row r="7" spans="1:1" x14ac:dyDescent="0.25">
      <c r="A7">
        <v>211</v>
      </c>
    </row>
    <row r="8" spans="1:1" x14ac:dyDescent="0.25">
      <c r="A8">
        <v>212</v>
      </c>
    </row>
    <row r="9" spans="1:1" x14ac:dyDescent="0.25">
      <c r="A9">
        <v>213</v>
      </c>
    </row>
    <row r="10" spans="1:1" x14ac:dyDescent="0.25">
      <c r="A10">
        <v>214</v>
      </c>
    </row>
    <row r="11" spans="1:1" x14ac:dyDescent="0.25">
      <c r="A11">
        <v>215</v>
      </c>
    </row>
    <row r="12" spans="1:1" x14ac:dyDescent="0.25">
      <c r="A12">
        <v>216</v>
      </c>
    </row>
    <row r="13" spans="1:1" x14ac:dyDescent="0.25">
      <c r="A13">
        <v>217</v>
      </c>
    </row>
    <row r="14" spans="1:1" x14ac:dyDescent="0.25">
      <c r="A14">
        <v>218</v>
      </c>
    </row>
    <row r="15" spans="1:1" x14ac:dyDescent="0.25">
      <c r="A15">
        <v>219</v>
      </c>
    </row>
    <row r="16" spans="1:1" x14ac:dyDescent="0.25">
      <c r="A16">
        <v>220</v>
      </c>
    </row>
    <row r="17" spans="1:1" x14ac:dyDescent="0.25">
      <c r="A17">
        <v>221</v>
      </c>
    </row>
    <row r="18" spans="1:1" x14ac:dyDescent="0.25">
      <c r="A18">
        <v>222</v>
      </c>
    </row>
    <row r="19" spans="1:1" x14ac:dyDescent="0.25">
      <c r="A19">
        <v>223</v>
      </c>
    </row>
    <row r="20" spans="1:1" x14ac:dyDescent="0.25">
      <c r="A20">
        <v>224</v>
      </c>
    </row>
    <row r="21" spans="1:1" x14ac:dyDescent="0.25">
      <c r="A21">
        <v>225</v>
      </c>
    </row>
    <row r="22" spans="1:1" x14ac:dyDescent="0.25">
      <c r="A22">
        <v>226</v>
      </c>
    </row>
    <row r="23" spans="1:1" x14ac:dyDescent="0.25">
      <c r="A23">
        <v>227</v>
      </c>
    </row>
    <row r="24" spans="1:1" x14ac:dyDescent="0.25">
      <c r="A24">
        <v>228</v>
      </c>
    </row>
    <row r="25" spans="1:1" x14ac:dyDescent="0.25">
      <c r="A25">
        <v>229</v>
      </c>
    </row>
    <row r="26" spans="1:1" x14ac:dyDescent="0.25">
      <c r="A26">
        <v>230</v>
      </c>
    </row>
    <row r="27" spans="1:1" x14ac:dyDescent="0.25">
      <c r="A27">
        <v>231</v>
      </c>
    </row>
    <row r="28" spans="1:1" x14ac:dyDescent="0.25">
      <c r="A28">
        <v>232</v>
      </c>
    </row>
    <row r="29" spans="1:1" x14ac:dyDescent="0.25">
      <c r="A29">
        <v>233</v>
      </c>
    </row>
    <row r="30" spans="1:1" x14ac:dyDescent="0.25">
      <c r="A30">
        <v>234</v>
      </c>
    </row>
    <row r="31" spans="1:1" x14ac:dyDescent="0.25">
      <c r="A31">
        <v>235</v>
      </c>
    </row>
    <row r="32" spans="1:1" x14ac:dyDescent="0.25">
      <c r="A32">
        <v>236</v>
      </c>
    </row>
    <row r="33" spans="1:1" x14ac:dyDescent="0.25">
      <c r="A33">
        <v>237</v>
      </c>
    </row>
    <row r="34" spans="1:1" x14ac:dyDescent="0.25">
      <c r="A34">
        <v>238</v>
      </c>
    </row>
    <row r="35" spans="1:1" x14ac:dyDescent="0.25">
      <c r="A35">
        <v>239</v>
      </c>
    </row>
    <row r="36" spans="1:1" x14ac:dyDescent="0.25">
      <c r="A36">
        <v>240</v>
      </c>
    </row>
    <row r="37" spans="1:1" x14ac:dyDescent="0.25">
      <c r="A37">
        <v>241</v>
      </c>
    </row>
    <row r="38" spans="1:1" x14ac:dyDescent="0.25">
      <c r="A38">
        <v>242</v>
      </c>
    </row>
    <row r="39" spans="1:1" x14ac:dyDescent="0.25">
      <c r="A39">
        <v>243</v>
      </c>
    </row>
    <row r="40" spans="1:1" x14ac:dyDescent="0.25">
      <c r="A40">
        <v>244</v>
      </c>
    </row>
    <row r="41" spans="1:1" x14ac:dyDescent="0.25">
      <c r="A41">
        <v>245</v>
      </c>
    </row>
    <row r="42" spans="1:1" x14ac:dyDescent="0.25">
      <c r="A42">
        <v>246</v>
      </c>
    </row>
    <row r="43" spans="1:1" x14ac:dyDescent="0.25">
      <c r="A43">
        <v>247</v>
      </c>
    </row>
    <row r="44" spans="1:1" x14ac:dyDescent="0.25">
      <c r="A44">
        <v>248</v>
      </c>
    </row>
    <row r="45" spans="1:1" x14ac:dyDescent="0.25">
      <c r="A45">
        <v>249</v>
      </c>
    </row>
    <row r="46" spans="1:1" x14ac:dyDescent="0.25">
      <c r="A46">
        <v>250</v>
      </c>
    </row>
    <row r="47" spans="1:1" x14ac:dyDescent="0.25">
      <c r="A47">
        <v>251</v>
      </c>
    </row>
    <row r="48" spans="1:1" x14ac:dyDescent="0.25">
      <c r="A48">
        <v>252</v>
      </c>
    </row>
    <row r="49" spans="1:1" x14ac:dyDescent="0.25">
      <c r="A49">
        <v>253</v>
      </c>
    </row>
    <row r="50" spans="1:1" x14ac:dyDescent="0.25">
      <c r="A50">
        <v>254</v>
      </c>
    </row>
    <row r="51" spans="1:1" x14ac:dyDescent="0.25">
      <c r="A51">
        <v>255</v>
      </c>
    </row>
    <row r="52" spans="1:1" x14ac:dyDescent="0.25">
      <c r="A52">
        <v>256</v>
      </c>
    </row>
    <row r="53" spans="1:1" x14ac:dyDescent="0.25">
      <c r="A53">
        <v>257</v>
      </c>
    </row>
    <row r="54" spans="1:1" x14ac:dyDescent="0.25">
      <c r="A54">
        <v>258</v>
      </c>
    </row>
    <row r="55" spans="1:1" x14ac:dyDescent="0.25">
      <c r="A55">
        <v>259</v>
      </c>
    </row>
    <row r="56" spans="1:1" x14ac:dyDescent="0.25">
      <c r="A56">
        <v>260</v>
      </c>
    </row>
    <row r="57" spans="1:1" x14ac:dyDescent="0.25">
      <c r="A57">
        <v>261</v>
      </c>
    </row>
    <row r="58" spans="1:1" x14ac:dyDescent="0.25">
      <c r="A58">
        <v>262</v>
      </c>
    </row>
    <row r="59" spans="1:1" x14ac:dyDescent="0.25">
      <c r="A59">
        <v>263</v>
      </c>
    </row>
    <row r="60" spans="1:1" x14ac:dyDescent="0.25">
      <c r="A60">
        <v>264</v>
      </c>
    </row>
    <row r="61" spans="1:1" x14ac:dyDescent="0.25">
      <c r="A61">
        <v>265</v>
      </c>
    </row>
    <row r="62" spans="1:1" x14ac:dyDescent="0.25">
      <c r="A62">
        <v>266</v>
      </c>
    </row>
    <row r="63" spans="1:1" x14ac:dyDescent="0.25">
      <c r="A63">
        <v>267</v>
      </c>
    </row>
    <row r="64" spans="1:1" x14ac:dyDescent="0.25">
      <c r="A64">
        <v>268</v>
      </c>
    </row>
    <row r="65" spans="1:1" x14ac:dyDescent="0.25">
      <c r="A65">
        <v>269</v>
      </c>
    </row>
    <row r="66" spans="1:1" x14ac:dyDescent="0.25">
      <c r="A66">
        <v>270</v>
      </c>
    </row>
    <row r="67" spans="1:1" x14ac:dyDescent="0.25">
      <c r="A67">
        <v>271</v>
      </c>
    </row>
    <row r="68" spans="1:1" x14ac:dyDescent="0.25">
      <c r="A68">
        <v>272</v>
      </c>
    </row>
    <row r="69" spans="1:1" x14ac:dyDescent="0.25">
      <c r="A69">
        <v>273</v>
      </c>
    </row>
    <row r="70" spans="1:1" x14ac:dyDescent="0.25">
      <c r="A70">
        <v>274</v>
      </c>
    </row>
    <row r="71" spans="1:1" x14ac:dyDescent="0.25">
      <c r="A71">
        <v>275</v>
      </c>
    </row>
    <row r="72" spans="1:1" x14ac:dyDescent="0.25">
      <c r="A72">
        <v>276</v>
      </c>
    </row>
    <row r="73" spans="1:1" x14ac:dyDescent="0.25">
      <c r="A73">
        <v>277</v>
      </c>
    </row>
    <row r="74" spans="1:1" x14ac:dyDescent="0.25">
      <c r="A74">
        <v>278</v>
      </c>
    </row>
    <row r="75" spans="1:1" x14ac:dyDescent="0.25">
      <c r="A75">
        <v>279</v>
      </c>
    </row>
    <row r="76" spans="1:1" x14ac:dyDescent="0.25">
      <c r="A76">
        <v>280</v>
      </c>
    </row>
    <row r="77" spans="1:1" x14ac:dyDescent="0.25">
      <c r="A77">
        <v>281</v>
      </c>
    </row>
    <row r="78" spans="1:1" x14ac:dyDescent="0.25">
      <c r="A78">
        <v>282</v>
      </c>
    </row>
    <row r="79" spans="1:1" x14ac:dyDescent="0.25">
      <c r="A79">
        <v>283</v>
      </c>
    </row>
    <row r="80" spans="1:1" x14ac:dyDescent="0.25">
      <c r="A80">
        <v>284</v>
      </c>
    </row>
    <row r="81" spans="1:1" x14ac:dyDescent="0.25">
      <c r="A81">
        <v>285</v>
      </c>
    </row>
    <row r="82" spans="1:1" x14ac:dyDescent="0.25">
      <c r="A82">
        <v>286</v>
      </c>
    </row>
    <row r="83" spans="1:1" x14ac:dyDescent="0.25">
      <c r="A83">
        <v>287</v>
      </c>
    </row>
    <row r="84" spans="1:1" x14ac:dyDescent="0.25">
      <c r="A84">
        <v>288</v>
      </c>
    </row>
    <row r="85" spans="1:1" x14ac:dyDescent="0.25">
      <c r="A85">
        <v>289</v>
      </c>
    </row>
    <row r="86" spans="1:1" x14ac:dyDescent="0.25">
      <c r="A86">
        <v>290</v>
      </c>
    </row>
    <row r="87" spans="1:1" x14ac:dyDescent="0.25">
      <c r="A87">
        <v>291</v>
      </c>
    </row>
    <row r="88" spans="1:1" x14ac:dyDescent="0.25">
      <c r="A88">
        <v>292</v>
      </c>
    </row>
    <row r="89" spans="1:1" x14ac:dyDescent="0.25">
      <c r="A89">
        <v>293</v>
      </c>
    </row>
    <row r="90" spans="1:1" x14ac:dyDescent="0.25">
      <c r="A90">
        <v>294</v>
      </c>
    </row>
    <row r="91" spans="1:1" x14ac:dyDescent="0.25">
      <c r="A91">
        <v>295</v>
      </c>
    </row>
    <row r="92" spans="1:1" x14ac:dyDescent="0.25">
      <c r="A92">
        <v>296</v>
      </c>
    </row>
    <row r="93" spans="1:1" x14ac:dyDescent="0.25">
      <c r="A93">
        <v>297</v>
      </c>
    </row>
    <row r="94" spans="1:1" x14ac:dyDescent="0.25">
      <c r="A94">
        <v>298</v>
      </c>
    </row>
    <row r="95" spans="1:1" x14ac:dyDescent="0.25">
      <c r="A95">
        <v>299</v>
      </c>
    </row>
    <row r="96" spans="1:1" x14ac:dyDescent="0.25">
      <c r="A96">
        <v>300</v>
      </c>
    </row>
    <row r="97" spans="1:1" x14ac:dyDescent="0.25">
      <c r="A97">
        <v>301</v>
      </c>
    </row>
    <row r="98" spans="1:1" x14ac:dyDescent="0.25">
      <c r="A98">
        <v>302</v>
      </c>
    </row>
    <row r="99" spans="1:1" x14ac:dyDescent="0.25">
      <c r="A99">
        <v>303</v>
      </c>
    </row>
    <row r="100" spans="1:1" x14ac:dyDescent="0.25">
      <c r="A100">
        <v>304</v>
      </c>
    </row>
    <row r="101" spans="1:1" x14ac:dyDescent="0.25">
      <c r="A101">
        <v>305</v>
      </c>
    </row>
    <row r="102" spans="1:1" x14ac:dyDescent="0.25">
      <c r="A102">
        <v>306</v>
      </c>
    </row>
    <row r="103" spans="1:1" x14ac:dyDescent="0.25">
      <c r="A103">
        <v>307</v>
      </c>
    </row>
    <row r="104" spans="1:1" x14ac:dyDescent="0.25">
      <c r="A104">
        <v>308</v>
      </c>
    </row>
    <row r="105" spans="1:1" x14ac:dyDescent="0.25">
      <c r="A105">
        <v>309</v>
      </c>
    </row>
    <row r="106" spans="1:1" x14ac:dyDescent="0.25">
      <c r="A106">
        <v>310</v>
      </c>
    </row>
    <row r="107" spans="1:1" x14ac:dyDescent="0.25">
      <c r="A107">
        <v>311</v>
      </c>
    </row>
    <row r="108" spans="1:1" x14ac:dyDescent="0.25">
      <c r="A108">
        <v>312</v>
      </c>
    </row>
    <row r="109" spans="1:1" x14ac:dyDescent="0.25">
      <c r="A109">
        <v>313</v>
      </c>
    </row>
    <row r="110" spans="1:1" x14ac:dyDescent="0.25">
      <c r="A110">
        <v>314</v>
      </c>
    </row>
    <row r="111" spans="1:1" x14ac:dyDescent="0.25">
      <c r="A111">
        <v>315</v>
      </c>
    </row>
    <row r="112" spans="1:1" x14ac:dyDescent="0.25">
      <c r="A112">
        <v>316</v>
      </c>
    </row>
    <row r="113" spans="1:1" x14ac:dyDescent="0.25">
      <c r="A113">
        <v>317</v>
      </c>
    </row>
    <row r="114" spans="1:1" x14ac:dyDescent="0.25">
      <c r="A114">
        <v>318</v>
      </c>
    </row>
    <row r="115" spans="1:1" x14ac:dyDescent="0.25">
      <c r="A115">
        <v>319</v>
      </c>
    </row>
    <row r="116" spans="1:1" x14ac:dyDescent="0.25">
      <c r="A116">
        <v>320</v>
      </c>
    </row>
    <row r="117" spans="1:1" x14ac:dyDescent="0.25">
      <c r="A117">
        <v>321</v>
      </c>
    </row>
    <row r="118" spans="1:1" x14ac:dyDescent="0.25">
      <c r="A118">
        <v>322</v>
      </c>
    </row>
    <row r="119" spans="1:1" x14ac:dyDescent="0.25">
      <c r="A119">
        <v>323</v>
      </c>
    </row>
    <row r="120" spans="1:1" x14ac:dyDescent="0.25">
      <c r="A120">
        <v>324</v>
      </c>
    </row>
    <row r="121" spans="1:1" x14ac:dyDescent="0.25">
      <c r="A121">
        <v>325</v>
      </c>
    </row>
    <row r="122" spans="1:1" x14ac:dyDescent="0.25">
      <c r="A122">
        <v>326</v>
      </c>
    </row>
    <row r="123" spans="1:1" x14ac:dyDescent="0.25">
      <c r="A123">
        <v>327</v>
      </c>
    </row>
    <row r="124" spans="1:1" x14ac:dyDescent="0.25">
      <c r="A124">
        <v>328</v>
      </c>
    </row>
    <row r="125" spans="1:1" x14ac:dyDescent="0.25">
      <c r="A125">
        <v>329</v>
      </c>
    </row>
    <row r="126" spans="1:1" x14ac:dyDescent="0.25">
      <c r="A126">
        <v>330</v>
      </c>
    </row>
    <row r="127" spans="1:1" x14ac:dyDescent="0.25">
      <c r="A127">
        <v>331</v>
      </c>
    </row>
    <row r="128" spans="1:1" x14ac:dyDescent="0.25">
      <c r="A128">
        <v>332</v>
      </c>
    </row>
    <row r="129" spans="1:1" x14ac:dyDescent="0.25">
      <c r="A129">
        <v>333</v>
      </c>
    </row>
    <row r="130" spans="1:1" x14ac:dyDescent="0.25">
      <c r="A130">
        <v>334</v>
      </c>
    </row>
    <row r="131" spans="1:1" x14ac:dyDescent="0.25">
      <c r="A131">
        <v>335</v>
      </c>
    </row>
    <row r="132" spans="1:1" x14ac:dyDescent="0.25">
      <c r="A132">
        <v>336</v>
      </c>
    </row>
    <row r="133" spans="1:1" x14ac:dyDescent="0.25">
      <c r="A133">
        <v>337</v>
      </c>
    </row>
    <row r="134" spans="1:1" x14ac:dyDescent="0.25">
      <c r="A134">
        <v>338</v>
      </c>
    </row>
    <row r="135" spans="1:1" x14ac:dyDescent="0.25">
      <c r="A135">
        <v>339</v>
      </c>
    </row>
    <row r="136" spans="1:1" x14ac:dyDescent="0.25">
      <c r="A136">
        <v>340</v>
      </c>
    </row>
    <row r="137" spans="1:1" x14ac:dyDescent="0.25">
      <c r="A137">
        <v>341</v>
      </c>
    </row>
    <row r="138" spans="1:1" x14ac:dyDescent="0.25">
      <c r="A138">
        <v>342</v>
      </c>
    </row>
    <row r="139" spans="1:1" x14ac:dyDescent="0.25">
      <c r="A139">
        <v>343</v>
      </c>
    </row>
    <row r="140" spans="1:1" x14ac:dyDescent="0.25">
      <c r="A140">
        <v>344</v>
      </c>
    </row>
    <row r="141" spans="1:1" x14ac:dyDescent="0.25">
      <c r="A141">
        <v>345</v>
      </c>
    </row>
    <row r="142" spans="1:1" x14ac:dyDescent="0.25">
      <c r="A142">
        <v>346</v>
      </c>
    </row>
    <row r="143" spans="1:1" x14ac:dyDescent="0.25">
      <c r="A143">
        <v>347</v>
      </c>
    </row>
    <row r="144" spans="1:1" x14ac:dyDescent="0.25">
      <c r="A144">
        <v>348</v>
      </c>
    </row>
    <row r="145" spans="1:1" x14ac:dyDescent="0.25">
      <c r="A145">
        <v>349</v>
      </c>
    </row>
    <row r="146" spans="1:1" x14ac:dyDescent="0.25">
      <c r="A146">
        <v>350</v>
      </c>
    </row>
    <row r="147" spans="1:1" x14ac:dyDescent="0.25">
      <c r="A147">
        <v>351</v>
      </c>
    </row>
    <row r="148" spans="1:1" x14ac:dyDescent="0.25">
      <c r="A148">
        <v>352</v>
      </c>
    </row>
    <row r="149" spans="1:1" x14ac:dyDescent="0.25">
      <c r="A149">
        <v>353</v>
      </c>
    </row>
    <row r="150" spans="1:1" x14ac:dyDescent="0.25">
      <c r="A150">
        <v>354</v>
      </c>
    </row>
    <row r="151" spans="1:1" x14ac:dyDescent="0.25">
      <c r="A151">
        <v>355</v>
      </c>
    </row>
    <row r="152" spans="1:1" x14ac:dyDescent="0.25">
      <c r="A152">
        <v>356</v>
      </c>
    </row>
    <row r="153" spans="1:1" x14ac:dyDescent="0.25">
      <c r="A153">
        <v>357</v>
      </c>
    </row>
    <row r="154" spans="1:1" x14ac:dyDescent="0.25">
      <c r="A154">
        <v>358</v>
      </c>
    </row>
    <row r="155" spans="1:1" x14ac:dyDescent="0.25">
      <c r="A155">
        <v>359</v>
      </c>
    </row>
    <row r="156" spans="1:1" x14ac:dyDescent="0.25">
      <c r="A156">
        <v>360</v>
      </c>
    </row>
    <row r="157" spans="1:1" x14ac:dyDescent="0.25">
      <c r="A157">
        <v>361</v>
      </c>
    </row>
    <row r="158" spans="1:1" x14ac:dyDescent="0.25">
      <c r="A158">
        <v>362</v>
      </c>
    </row>
    <row r="159" spans="1:1" x14ac:dyDescent="0.25">
      <c r="A159">
        <v>363</v>
      </c>
    </row>
    <row r="160" spans="1:1" x14ac:dyDescent="0.25">
      <c r="A160">
        <v>364</v>
      </c>
    </row>
    <row r="161" spans="1:1" x14ac:dyDescent="0.25">
      <c r="A161">
        <v>365</v>
      </c>
    </row>
    <row r="162" spans="1:1" x14ac:dyDescent="0.25">
      <c r="A162">
        <v>366</v>
      </c>
    </row>
    <row r="163" spans="1:1" x14ac:dyDescent="0.25">
      <c r="A163">
        <v>367</v>
      </c>
    </row>
    <row r="164" spans="1:1" x14ac:dyDescent="0.25">
      <c r="A164">
        <v>368</v>
      </c>
    </row>
    <row r="165" spans="1:1" x14ac:dyDescent="0.25">
      <c r="A165">
        <v>369</v>
      </c>
    </row>
    <row r="166" spans="1:1" x14ac:dyDescent="0.25">
      <c r="A166">
        <v>370</v>
      </c>
    </row>
    <row r="167" spans="1:1" x14ac:dyDescent="0.25">
      <c r="A167">
        <v>371</v>
      </c>
    </row>
    <row r="168" spans="1:1" x14ac:dyDescent="0.25">
      <c r="A168">
        <v>372</v>
      </c>
    </row>
    <row r="169" spans="1:1" x14ac:dyDescent="0.25">
      <c r="A169">
        <v>373</v>
      </c>
    </row>
    <row r="170" spans="1:1" x14ac:dyDescent="0.25">
      <c r="A170">
        <v>374</v>
      </c>
    </row>
    <row r="171" spans="1:1" x14ac:dyDescent="0.25">
      <c r="A171">
        <v>375</v>
      </c>
    </row>
    <row r="172" spans="1:1" x14ac:dyDescent="0.25">
      <c r="A172">
        <v>376</v>
      </c>
    </row>
    <row r="173" spans="1:1" x14ac:dyDescent="0.25">
      <c r="A173">
        <v>377</v>
      </c>
    </row>
    <row r="174" spans="1:1" x14ac:dyDescent="0.25">
      <c r="A174">
        <v>378</v>
      </c>
    </row>
    <row r="175" spans="1:1" x14ac:dyDescent="0.25">
      <c r="A175">
        <v>379</v>
      </c>
    </row>
    <row r="176" spans="1:1" x14ac:dyDescent="0.25">
      <c r="A176">
        <v>380</v>
      </c>
    </row>
    <row r="177" spans="1:1" x14ac:dyDescent="0.25">
      <c r="A177">
        <v>381</v>
      </c>
    </row>
    <row r="178" spans="1:1" x14ac:dyDescent="0.25">
      <c r="A178">
        <v>382</v>
      </c>
    </row>
    <row r="179" spans="1:1" x14ac:dyDescent="0.25">
      <c r="A179">
        <v>383</v>
      </c>
    </row>
    <row r="180" spans="1:1" x14ac:dyDescent="0.25">
      <c r="A180">
        <v>384</v>
      </c>
    </row>
    <row r="181" spans="1:1" x14ac:dyDescent="0.25">
      <c r="A181">
        <v>385</v>
      </c>
    </row>
    <row r="182" spans="1:1" x14ac:dyDescent="0.25">
      <c r="A182">
        <v>386</v>
      </c>
    </row>
    <row r="183" spans="1:1" x14ac:dyDescent="0.25">
      <c r="A183">
        <v>387</v>
      </c>
    </row>
    <row r="184" spans="1:1" x14ac:dyDescent="0.25">
      <c r="A184">
        <v>388</v>
      </c>
    </row>
    <row r="185" spans="1:1" x14ac:dyDescent="0.25">
      <c r="A185">
        <v>389</v>
      </c>
    </row>
    <row r="186" spans="1:1" x14ac:dyDescent="0.25">
      <c r="A186">
        <v>390</v>
      </c>
    </row>
    <row r="187" spans="1:1" x14ac:dyDescent="0.25">
      <c r="A187">
        <v>391</v>
      </c>
    </row>
    <row r="188" spans="1:1" x14ac:dyDescent="0.25">
      <c r="A188">
        <v>392</v>
      </c>
    </row>
    <row r="189" spans="1:1" x14ac:dyDescent="0.25">
      <c r="A189">
        <v>393</v>
      </c>
    </row>
    <row r="190" spans="1:1" x14ac:dyDescent="0.25">
      <c r="A190">
        <v>394</v>
      </c>
    </row>
    <row r="191" spans="1:1" x14ac:dyDescent="0.25">
      <c r="A191">
        <v>395</v>
      </c>
    </row>
    <row r="192" spans="1:1" x14ac:dyDescent="0.25">
      <c r="A192">
        <v>396</v>
      </c>
    </row>
    <row r="193" spans="1:1" x14ac:dyDescent="0.25">
      <c r="A193">
        <v>397</v>
      </c>
    </row>
    <row r="194" spans="1:1" x14ac:dyDescent="0.25">
      <c r="A194">
        <v>398</v>
      </c>
    </row>
    <row r="195" spans="1:1" x14ac:dyDescent="0.25">
      <c r="A195">
        <v>399</v>
      </c>
    </row>
    <row r="196" spans="1:1" x14ac:dyDescent="0.25">
      <c r="A196">
        <v>400</v>
      </c>
    </row>
    <row r="197" spans="1:1" x14ac:dyDescent="0.25">
      <c r="A197">
        <v>401</v>
      </c>
    </row>
    <row r="198" spans="1:1" x14ac:dyDescent="0.25">
      <c r="A198">
        <v>402</v>
      </c>
    </row>
    <row r="199" spans="1:1" x14ac:dyDescent="0.25">
      <c r="A199">
        <v>403</v>
      </c>
    </row>
    <row r="200" spans="1:1" x14ac:dyDescent="0.25">
      <c r="A200">
        <v>404</v>
      </c>
    </row>
    <row r="201" spans="1:1" x14ac:dyDescent="0.25">
      <c r="A201">
        <v>405</v>
      </c>
    </row>
    <row r="202" spans="1:1" x14ac:dyDescent="0.25">
      <c r="A202">
        <v>406</v>
      </c>
    </row>
    <row r="203" spans="1:1" x14ac:dyDescent="0.25">
      <c r="A203">
        <v>407</v>
      </c>
    </row>
    <row r="204" spans="1:1" x14ac:dyDescent="0.25">
      <c r="A204">
        <v>408</v>
      </c>
    </row>
    <row r="205" spans="1:1" x14ac:dyDescent="0.25">
      <c r="A205">
        <v>409</v>
      </c>
    </row>
    <row r="206" spans="1:1" x14ac:dyDescent="0.25">
      <c r="A206">
        <v>410</v>
      </c>
    </row>
    <row r="207" spans="1:1" x14ac:dyDescent="0.25">
      <c r="A207">
        <v>411</v>
      </c>
    </row>
    <row r="208" spans="1:1" x14ac:dyDescent="0.25">
      <c r="A208">
        <v>412</v>
      </c>
    </row>
    <row r="209" spans="1:1" x14ac:dyDescent="0.25">
      <c r="A209">
        <v>413</v>
      </c>
    </row>
    <row r="210" spans="1:1" x14ac:dyDescent="0.25">
      <c r="A210">
        <v>414</v>
      </c>
    </row>
    <row r="211" spans="1:1" x14ac:dyDescent="0.25">
      <c r="A211">
        <v>415</v>
      </c>
    </row>
    <row r="212" spans="1:1" x14ac:dyDescent="0.25">
      <c r="A212">
        <v>416</v>
      </c>
    </row>
    <row r="213" spans="1:1" x14ac:dyDescent="0.25">
      <c r="A213">
        <v>417</v>
      </c>
    </row>
    <row r="214" spans="1:1" x14ac:dyDescent="0.25">
      <c r="A214">
        <v>418</v>
      </c>
    </row>
    <row r="215" spans="1:1" x14ac:dyDescent="0.25">
      <c r="A215">
        <v>419</v>
      </c>
    </row>
    <row r="216" spans="1:1" x14ac:dyDescent="0.25">
      <c r="A216">
        <v>420</v>
      </c>
    </row>
    <row r="217" spans="1:1" x14ac:dyDescent="0.25">
      <c r="A217">
        <v>421</v>
      </c>
    </row>
    <row r="218" spans="1:1" x14ac:dyDescent="0.25">
      <c r="A218">
        <v>422</v>
      </c>
    </row>
    <row r="219" spans="1:1" x14ac:dyDescent="0.25">
      <c r="A219">
        <v>423</v>
      </c>
    </row>
    <row r="220" spans="1:1" x14ac:dyDescent="0.25">
      <c r="A220">
        <v>424</v>
      </c>
    </row>
    <row r="221" spans="1:1" x14ac:dyDescent="0.25">
      <c r="A221">
        <v>425</v>
      </c>
    </row>
    <row r="222" spans="1:1" x14ac:dyDescent="0.25">
      <c r="A222">
        <v>426</v>
      </c>
    </row>
    <row r="223" spans="1:1" x14ac:dyDescent="0.25">
      <c r="A223">
        <v>427</v>
      </c>
    </row>
    <row r="224" spans="1:1" x14ac:dyDescent="0.25">
      <c r="A224">
        <v>428</v>
      </c>
    </row>
    <row r="225" spans="1:1" x14ac:dyDescent="0.25">
      <c r="A225">
        <v>429</v>
      </c>
    </row>
    <row r="226" spans="1:1" x14ac:dyDescent="0.25">
      <c r="A226">
        <v>430</v>
      </c>
    </row>
    <row r="227" spans="1:1" x14ac:dyDescent="0.25">
      <c r="A227">
        <v>431</v>
      </c>
    </row>
    <row r="228" spans="1:1" x14ac:dyDescent="0.25">
      <c r="A228">
        <v>432</v>
      </c>
    </row>
    <row r="229" spans="1:1" x14ac:dyDescent="0.25">
      <c r="A229">
        <v>433</v>
      </c>
    </row>
    <row r="230" spans="1:1" x14ac:dyDescent="0.25">
      <c r="A230">
        <v>434</v>
      </c>
    </row>
    <row r="231" spans="1:1" x14ac:dyDescent="0.25">
      <c r="A231">
        <v>435</v>
      </c>
    </row>
    <row r="232" spans="1:1" x14ac:dyDescent="0.25">
      <c r="A232">
        <v>436</v>
      </c>
    </row>
    <row r="233" spans="1:1" x14ac:dyDescent="0.25">
      <c r="A233">
        <v>437</v>
      </c>
    </row>
    <row r="234" spans="1:1" x14ac:dyDescent="0.25">
      <c r="A234">
        <v>438</v>
      </c>
    </row>
    <row r="235" spans="1:1" x14ac:dyDescent="0.25">
      <c r="A235">
        <v>439</v>
      </c>
    </row>
    <row r="236" spans="1:1" x14ac:dyDescent="0.25">
      <c r="A236">
        <v>440</v>
      </c>
    </row>
    <row r="237" spans="1:1" x14ac:dyDescent="0.25">
      <c r="A237">
        <v>441</v>
      </c>
    </row>
    <row r="238" spans="1:1" x14ac:dyDescent="0.25">
      <c r="A238">
        <v>442</v>
      </c>
    </row>
    <row r="239" spans="1:1" x14ac:dyDescent="0.25">
      <c r="A239">
        <v>443</v>
      </c>
    </row>
    <row r="240" spans="1:1" x14ac:dyDescent="0.25">
      <c r="A240">
        <v>444</v>
      </c>
    </row>
    <row r="241" spans="1:1" x14ac:dyDescent="0.25">
      <c r="A241">
        <v>445</v>
      </c>
    </row>
    <row r="242" spans="1:1" x14ac:dyDescent="0.25">
      <c r="A242">
        <v>446</v>
      </c>
    </row>
    <row r="243" spans="1:1" x14ac:dyDescent="0.25">
      <c r="A243">
        <v>447</v>
      </c>
    </row>
    <row r="244" spans="1:1" x14ac:dyDescent="0.25">
      <c r="A244">
        <v>448</v>
      </c>
    </row>
    <row r="245" spans="1:1" x14ac:dyDescent="0.25">
      <c r="A245">
        <v>449</v>
      </c>
    </row>
    <row r="246" spans="1:1" x14ac:dyDescent="0.25">
      <c r="A246">
        <v>450</v>
      </c>
    </row>
    <row r="247" spans="1:1" x14ac:dyDescent="0.25">
      <c r="A247">
        <v>451</v>
      </c>
    </row>
    <row r="248" spans="1:1" x14ac:dyDescent="0.25">
      <c r="A248">
        <v>452</v>
      </c>
    </row>
    <row r="249" spans="1:1" x14ac:dyDescent="0.25">
      <c r="A249">
        <v>453</v>
      </c>
    </row>
    <row r="250" spans="1:1" x14ac:dyDescent="0.25">
      <c r="A250">
        <v>454</v>
      </c>
    </row>
    <row r="251" spans="1:1" x14ac:dyDescent="0.25">
      <c r="A251">
        <v>455</v>
      </c>
    </row>
    <row r="252" spans="1:1" x14ac:dyDescent="0.25">
      <c r="A252">
        <v>456</v>
      </c>
    </row>
    <row r="253" spans="1:1" x14ac:dyDescent="0.25">
      <c r="A253">
        <v>457</v>
      </c>
    </row>
    <row r="254" spans="1:1" x14ac:dyDescent="0.25">
      <c r="A254">
        <v>458</v>
      </c>
    </row>
    <row r="255" spans="1:1" x14ac:dyDescent="0.25">
      <c r="A255">
        <v>459</v>
      </c>
    </row>
    <row r="256" spans="1:1" x14ac:dyDescent="0.25">
      <c r="A256">
        <v>460</v>
      </c>
    </row>
    <row r="257" spans="1:1" x14ac:dyDescent="0.25">
      <c r="A257">
        <v>461</v>
      </c>
    </row>
    <row r="258" spans="1:1" x14ac:dyDescent="0.25">
      <c r="A258">
        <v>462</v>
      </c>
    </row>
    <row r="259" spans="1:1" x14ac:dyDescent="0.25">
      <c r="A259">
        <v>463</v>
      </c>
    </row>
    <row r="260" spans="1:1" x14ac:dyDescent="0.25">
      <c r="A260">
        <v>464</v>
      </c>
    </row>
    <row r="261" spans="1:1" x14ac:dyDescent="0.25">
      <c r="A261">
        <v>465</v>
      </c>
    </row>
    <row r="262" spans="1:1" x14ac:dyDescent="0.25">
      <c r="A262">
        <v>466</v>
      </c>
    </row>
    <row r="263" spans="1:1" x14ac:dyDescent="0.25">
      <c r="A263">
        <v>467</v>
      </c>
    </row>
    <row r="264" spans="1:1" x14ac:dyDescent="0.25">
      <c r="A264">
        <v>468</v>
      </c>
    </row>
    <row r="265" spans="1:1" x14ac:dyDescent="0.25">
      <c r="A265">
        <v>469</v>
      </c>
    </row>
    <row r="266" spans="1:1" x14ac:dyDescent="0.25">
      <c r="A266">
        <v>470</v>
      </c>
    </row>
    <row r="267" spans="1:1" x14ac:dyDescent="0.25">
      <c r="A267">
        <v>471</v>
      </c>
    </row>
    <row r="268" spans="1:1" x14ac:dyDescent="0.25">
      <c r="A268">
        <v>472</v>
      </c>
    </row>
    <row r="269" spans="1:1" x14ac:dyDescent="0.25">
      <c r="A269">
        <v>473</v>
      </c>
    </row>
    <row r="270" spans="1:1" x14ac:dyDescent="0.25">
      <c r="A270">
        <v>474</v>
      </c>
    </row>
    <row r="271" spans="1:1" x14ac:dyDescent="0.25">
      <c r="A271">
        <v>475</v>
      </c>
    </row>
    <row r="272" spans="1:1" x14ac:dyDescent="0.25">
      <c r="A272">
        <v>476</v>
      </c>
    </row>
    <row r="273" spans="1:1" x14ac:dyDescent="0.25">
      <c r="A273">
        <v>477</v>
      </c>
    </row>
    <row r="274" spans="1:1" x14ac:dyDescent="0.25">
      <c r="A274">
        <v>478</v>
      </c>
    </row>
    <row r="275" spans="1:1" x14ac:dyDescent="0.25">
      <c r="A275">
        <v>479</v>
      </c>
    </row>
    <row r="276" spans="1:1" x14ac:dyDescent="0.25">
      <c r="A276">
        <v>480</v>
      </c>
    </row>
    <row r="277" spans="1:1" x14ac:dyDescent="0.25">
      <c r="A277">
        <v>481</v>
      </c>
    </row>
    <row r="278" spans="1:1" x14ac:dyDescent="0.25">
      <c r="A278">
        <v>482</v>
      </c>
    </row>
    <row r="279" spans="1:1" x14ac:dyDescent="0.25">
      <c r="A279">
        <v>483</v>
      </c>
    </row>
    <row r="280" spans="1:1" x14ac:dyDescent="0.25">
      <c r="A280">
        <v>484</v>
      </c>
    </row>
    <row r="281" spans="1:1" x14ac:dyDescent="0.25">
      <c r="A281">
        <v>485</v>
      </c>
    </row>
    <row r="282" spans="1:1" x14ac:dyDescent="0.25">
      <c r="A282">
        <v>486</v>
      </c>
    </row>
    <row r="283" spans="1:1" x14ac:dyDescent="0.25">
      <c r="A283">
        <v>487</v>
      </c>
    </row>
    <row r="284" spans="1:1" x14ac:dyDescent="0.25">
      <c r="A284">
        <v>488</v>
      </c>
    </row>
    <row r="285" spans="1:1" x14ac:dyDescent="0.25">
      <c r="A285">
        <v>489</v>
      </c>
    </row>
    <row r="286" spans="1:1" x14ac:dyDescent="0.25">
      <c r="A286">
        <v>490</v>
      </c>
    </row>
    <row r="287" spans="1:1" x14ac:dyDescent="0.25">
      <c r="A287">
        <v>491</v>
      </c>
    </row>
    <row r="288" spans="1:1" x14ac:dyDescent="0.25">
      <c r="A288">
        <v>492</v>
      </c>
    </row>
    <row r="289" spans="1:1" x14ac:dyDescent="0.25">
      <c r="A289">
        <v>493</v>
      </c>
    </row>
    <row r="290" spans="1:1" x14ac:dyDescent="0.25">
      <c r="A290">
        <v>494</v>
      </c>
    </row>
    <row r="291" spans="1:1" x14ac:dyDescent="0.25">
      <c r="A291">
        <v>495</v>
      </c>
    </row>
    <row r="292" spans="1:1" x14ac:dyDescent="0.25">
      <c r="A292">
        <v>496</v>
      </c>
    </row>
    <row r="293" spans="1:1" x14ac:dyDescent="0.25">
      <c r="A293">
        <v>497</v>
      </c>
    </row>
    <row r="294" spans="1:1" x14ac:dyDescent="0.25">
      <c r="A294">
        <v>498</v>
      </c>
    </row>
    <row r="295" spans="1:1" x14ac:dyDescent="0.25">
      <c r="A295">
        <v>499</v>
      </c>
    </row>
    <row r="296" spans="1:1" x14ac:dyDescent="0.25">
      <c r="A296">
        <v>500</v>
      </c>
    </row>
    <row r="297" spans="1:1" x14ac:dyDescent="0.25">
      <c r="A297">
        <v>501</v>
      </c>
    </row>
    <row r="298" spans="1:1" x14ac:dyDescent="0.25">
      <c r="A298">
        <v>502</v>
      </c>
    </row>
    <row r="299" spans="1:1" x14ac:dyDescent="0.25">
      <c r="A299">
        <v>503</v>
      </c>
    </row>
    <row r="300" spans="1:1" x14ac:dyDescent="0.25">
      <c r="A300">
        <v>504</v>
      </c>
    </row>
    <row r="301" spans="1:1" x14ac:dyDescent="0.25">
      <c r="A301">
        <v>505</v>
      </c>
    </row>
    <row r="302" spans="1:1" x14ac:dyDescent="0.25">
      <c r="A302">
        <v>506</v>
      </c>
    </row>
    <row r="303" spans="1:1" x14ac:dyDescent="0.25">
      <c r="A303">
        <v>507</v>
      </c>
    </row>
    <row r="304" spans="1:1" x14ac:dyDescent="0.25">
      <c r="A304">
        <v>508</v>
      </c>
    </row>
    <row r="305" spans="1:1" x14ac:dyDescent="0.25">
      <c r="A305">
        <v>509</v>
      </c>
    </row>
    <row r="306" spans="1:1" x14ac:dyDescent="0.25">
      <c r="A306">
        <v>510</v>
      </c>
    </row>
    <row r="307" spans="1:1" x14ac:dyDescent="0.25">
      <c r="A307">
        <v>511</v>
      </c>
    </row>
    <row r="308" spans="1:1" x14ac:dyDescent="0.25">
      <c r="A308">
        <v>512</v>
      </c>
    </row>
    <row r="309" spans="1:1" x14ac:dyDescent="0.25">
      <c r="A309">
        <v>513</v>
      </c>
    </row>
    <row r="310" spans="1:1" x14ac:dyDescent="0.25">
      <c r="A310">
        <v>514</v>
      </c>
    </row>
    <row r="311" spans="1:1" x14ac:dyDescent="0.25">
      <c r="A311">
        <v>515</v>
      </c>
    </row>
    <row r="312" spans="1:1" x14ac:dyDescent="0.25">
      <c r="A312">
        <v>516</v>
      </c>
    </row>
    <row r="313" spans="1:1" x14ac:dyDescent="0.25">
      <c r="A313">
        <v>517</v>
      </c>
    </row>
    <row r="314" spans="1:1" x14ac:dyDescent="0.25">
      <c r="A314">
        <v>518</v>
      </c>
    </row>
    <row r="315" spans="1:1" x14ac:dyDescent="0.25">
      <c r="A315">
        <v>519</v>
      </c>
    </row>
    <row r="316" spans="1:1" x14ac:dyDescent="0.25">
      <c r="A316">
        <v>520</v>
      </c>
    </row>
    <row r="317" spans="1:1" x14ac:dyDescent="0.25">
      <c r="A317">
        <v>521</v>
      </c>
    </row>
    <row r="318" spans="1:1" x14ac:dyDescent="0.25">
      <c r="A318">
        <v>522</v>
      </c>
    </row>
    <row r="319" spans="1:1" x14ac:dyDescent="0.25">
      <c r="A319">
        <v>523</v>
      </c>
    </row>
    <row r="320" spans="1:1" x14ac:dyDescent="0.25">
      <c r="A320">
        <v>524</v>
      </c>
    </row>
    <row r="321" spans="1:1" x14ac:dyDescent="0.25">
      <c r="A321">
        <v>525</v>
      </c>
    </row>
    <row r="322" spans="1:1" x14ac:dyDescent="0.25">
      <c r="A322">
        <v>526</v>
      </c>
    </row>
    <row r="323" spans="1:1" x14ac:dyDescent="0.25">
      <c r="A323">
        <v>527</v>
      </c>
    </row>
    <row r="324" spans="1:1" x14ac:dyDescent="0.25">
      <c r="A324">
        <v>528</v>
      </c>
    </row>
    <row r="325" spans="1:1" x14ac:dyDescent="0.25">
      <c r="A325">
        <v>529</v>
      </c>
    </row>
    <row r="326" spans="1:1" x14ac:dyDescent="0.25">
      <c r="A326">
        <v>530</v>
      </c>
    </row>
    <row r="327" spans="1:1" x14ac:dyDescent="0.25">
      <c r="A327">
        <v>531</v>
      </c>
    </row>
    <row r="328" spans="1:1" x14ac:dyDescent="0.25">
      <c r="A328">
        <v>532</v>
      </c>
    </row>
    <row r="329" spans="1:1" x14ac:dyDescent="0.25">
      <c r="A329">
        <v>533</v>
      </c>
    </row>
    <row r="330" spans="1:1" x14ac:dyDescent="0.25">
      <c r="A330">
        <v>534</v>
      </c>
    </row>
    <row r="331" spans="1:1" x14ac:dyDescent="0.25">
      <c r="A331">
        <v>535</v>
      </c>
    </row>
    <row r="332" spans="1:1" x14ac:dyDescent="0.25">
      <c r="A332">
        <v>536</v>
      </c>
    </row>
    <row r="333" spans="1:1" x14ac:dyDescent="0.25">
      <c r="A333">
        <v>537</v>
      </c>
    </row>
    <row r="334" spans="1:1" x14ac:dyDescent="0.25">
      <c r="A334">
        <v>538</v>
      </c>
    </row>
    <row r="335" spans="1:1" x14ac:dyDescent="0.25">
      <c r="A335">
        <v>539</v>
      </c>
    </row>
    <row r="336" spans="1:1" x14ac:dyDescent="0.25">
      <c r="A336">
        <v>540</v>
      </c>
    </row>
    <row r="337" spans="1:1" x14ac:dyDescent="0.25">
      <c r="A337">
        <v>541</v>
      </c>
    </row>
    <row r="338" spans="1:1" x14ac:dyDescent="0.25">
      <c r="A338">
        <v>542</v>
      </c>
    </row>
    <row r="339" spans="1:1" x14ac:dyDescent="0.25">
      <c r="A339">
        <v>543</v>
      </c>
    </row>
    <row r="340" spans="1:1" x14ac:dyDescent="0.25">
      <c r="A340">
        <v>544</v>
      </c>
    </row>
    <row r="341" spans="1:1" x14ac:dyDescent="0.25">
      <c r="A341">
        <v>545</v>
      </c>
    </row>
    <row r="342" spans="1:1" x14ac:dyDescent="0.25">
      <c r="A342">
        <v>546</v>
      </c>
    </row>
    <row r="343" spans="1:1" x14ac:dyDescent="0.25">
      <c r="A343">
        <v>547</v>
      </c>
    </row>
    <row r="344" spans="1:1" x14ac:dyDescent="0.25">
      <c r="A344">
        <v>548</v>
      </c>
    </row>
    <row r="345" spans="1:1" x14ac:dyDescent="0.25">
      <c r="A345">
        <v>549</v>
      </c>
    </row>
    <row r="346" spans="1:1" x14ac:dyDescent="0.25">
      <c r="A346">
        <v>550</v>
      </c>
    </row>
    <row r="347" spans="1:1" x14ac:dyDescent="0.25">
      <c r="A347">
        <v>551</v>
      </c>
    </row>
    <row r="348" spans="1:1" x14ac:dyDescent="0.25">
      <c r="A348">
        <v>552</v>
      </c>
    </row>
    <row r="349" spans="1:1" x14ac:dyDescent="0.25">
      <c r="A349">
        <v>553</v>
      </c>
    </row>
    <row r="350" spans="1:1" x14ac:dyDescent="0.25">
      <c r="A350">
        <v>554</v>
      </c>
    </row>
    <row r="351" spans="1:1" x14ac:dyDescent="0.25">
      <c r="A351">
        <v>555</v>
      </c>
    </row>
    <row r="352" spans="1:1" x14ac:dyDescent="0.25">
      <c r="A352">
        <v>556</v>
      </c>
    </row>
    <row r="353" spans="1:1" x14ac:dyDescent="0.25">
      <c r="A353">
        <v>557</v>
      </c>
    </row>
    <row r="354" spans="1:1" x14ac:dyDescent="0.25">
      <c r="A354">
        <v>558</v>
      </c>
    </row>
    <row r="355" spans="1:1" x14ac:dyDescent="0.25">
      <c r="A355">
        <v>559</v>
      </c>
    </row>
    <row r="356" spans="1:1" x14ac:dyDescent="0.25">
      <c r="A356">
        <v>560</v>
      </c>
    </row>
    <row r="357" spans="1:1" x14ac:dyDescent="0.25">
      <c r="A357">
        <v>561</v>
      </c>
    </row>
    <row r="358" spans="1:1" x14ac:dyDescent="0.25">
      <c r="A358">
        <v>562</v>
      </c>
    </row>
    <row r="359" spans="1:1" x14ac:dyDescent="0.25">
      <c r="A359">
        <v>563</v>
      </c>
    </row>
    <row r="360" spans="1:1" x14ac:dyDescent="0.25">
      <c r="A360">
        <v>564</v>
      </c>
    </row>
    <row r="361" spans="1:1" x14ac:dyDescent="0.25">
      <c r="A361">
        <v>565</v>
      </c>
    </row>
    <row r="362" spans="1:1" x14ac:dyDescent="0.25">
      <c r="A362">
        <v>566</v>
      </c>
    </row>
    <row r="363" spans="1:1" x14ac:dyDescent="0.25">
      <c r="A363">
        <v>567</v>
      </c>
    </row>
    <row r="364" spans="1:1" x14ac:dyDescent="0.25">
      <c r="A364">
        <v>568</v>
      </c>
    </row>
    <row r="365" spans="1:1" x14ac:dyDescent="0.25">
      <c r="A365">
        <v>569</v>
      </c>
    </row>
    <row r="366" spans="1:1" x14ac:dyDescent="0.25">
      <c r="A366">
        <v>570</v>
      </c>
    </row>
    <row r="367" spans="1:1" x14ac:dyDescent="0.25">
      <c r="A367">
        <v>571</v>
      </c>
    </row>
    <row r="368" spans="1:1" x14ac:dyDescent="0.25">
      <c r="A368">
        <v>572</v>
      </c>
    </row>
    <row r="369" spans="1:1" x14ac:dyDescent="0.25">
      <c r="A369">
        <v>573</v>
      </c>
    </row>
    <row r="370" spans="1:1" x14ac:dyDescent="0.25">
      <c r="A370">
        <v>574</v>
      </c>
    </row>
    <row r="371" spans="1:1" x14ac:dyDescent="0.25">
      <c r="A371">
        <v>575</v>
      </c>
    </row>
    <row r="372" spans="1:1" x14ac:dyDescent="0.25">
      <c r="A372">
        <v>576</v>
      </c>
    </row>
    <row r="373" spans="1:1" x14ac:dyDescent="0.25">
      <c r="A373">
        <v>577</v>
      </c>
    </row>
    <row r="374" spans="1:1" x14ac:dyDescent="0.25">
      <c r="A374">
        <v>578</v>
      </c>
    </row>
    <row r="375" spans="1:1" x14ac:dyDescent="0.25">
      <c r="A375">
        <v>579</v>
      </c>
    </row>
    <row r="376" spans="1:1" x14ac:dyDescent="0.25">
      <c r="A376">
        <v>580</v>
      </c>
    </row>
    <row r="377" spans="1:1" x14ac:dyDescent="0.25">
      <c r="A377">
        <v>581</v>
      </c>
    </row>
    <row r="378" spans="1:1" x14ac:dyDescent="0.25">
      <c r="A378">
        <v>582</v>
      </c>
    </row>
    <row r="379" spans="1:1" x14ac:dyDescent="0.25">
      <c r="A379">
        <v>583</v>
      </c>
    </row>
    <row r="380" spans="1:1" x14ac:dyDescent="0.25">
      <c r="A380">
        <v>584</v>
      </c>
    </row>
    <row r="381" spans="1:1" x14ac:dyDescent="0.25">
      <c r="A381">
        <v>585</v>
      </c>
    </row>
    <row r="382" spans="1:1" x14ac:dyDescent="0.25">
      <c r="A382">
        <v>586</v>
      </c>
    </row>
    <row r="383" spans="1:1" x14ac:dyDescent="0.25">
      <c r="A383">
        <v>587</v>
      </c>
    </row>
    <row r="384" spans="1:1" x14ac:dyDescent="0.25">
      <c r="A384">
        <v>588</v>
      </c>
    </row>
    <row r="385" spans="1:1" x14ac:dyDescent="0.25">
      <c r="A385">
        <v>589</v>
      </c>
    </row>
    <row r="386" spans="1:1" x14ac:dyDescent="0.25">
      <c r="A386">
        <v>590</v>
      </c>
    </row>
    <row r="387" spans="1:1" x14ac:dyDescent="0.25">
      <c r="A387">
        <v>591</v>
      </c>
    </row>
    <row r="388" spans="1:1" x14ac:dyDescent="0.25">
      <c r="A388">
        <v>592</v>
      </c>
    </row>
    <row r="389" spans="1:1" x14ac:dyDescent="0.25">
      <c r="A389">
        <v>593</v>
      </c>
    </row>
    <row r="390" spans="1:1" x14ac:dyDescent="0.25">
      <c r="A390">
        <v>594</v>
      </c>
    </row>
    <row r="391" spans="1:1" x14ac:dyDescent="0.25">
      <c r="A391">
        <v>595</v>
      </c>
    </row>
    <row r="392" spans="1:1" x14ac:dyDescent="0.25">
      <c r="A392">
        <v>596</v>
      </c>
    </row>
    <row r="393" spans="1:1" x14ac:dyDescent="0.25">
      <c r="A393">
        <v>597</v>
      </c>
    </row>
    <row r="394" spans="1:1" x14ac:dyDescent="0.25">
      <c r="A394">
        <v>598</v>
      </c>
    </row>
    <row r="395" spans="1:1" x14ac:dyDescent="0.25">
      <c r="A395">
        <v>599</v>
      </c>
    </row>
    <row r="396" spans="1:1" x14ac:dyDescent="0.25">
      <c r="A396">
        <v>600</v>
      </c>
    </row>
    <row r="397" spans="1:1" x14ac:dyDescent="0.25">
      <c r="A397">
        <v>601</v>
      </c>
    </row>
    <row r="398" spans="1:1" x14ac:dyDescent="0.25">
      <c r="A398">
        <v>602</v>
      </c>
    </row>
    <row r="399" spans="1:1" x14ac:dyDescent="0.25">
      <c r="A399">
        <v>603</v>
      </c>
    </row>
    <row r="400" spans="1:1" x14ac:dyDescent="0.25">
      <c r="A400">
        <v>604</v>
      </c>
    </row>
    <row r="401" spans="1:1" x14ac:dyDescent="0.25">
      <c r="A401">
        <v>605</v>
      </c>
    </row>
    <row r="402" spans="1:1" x14ac:dyDescent="0.25">
      <c r="A402">
        <v>606</v>
      </c>
    </row>
    <row r="403" spans="1:1" x14ac:dyDescent="0.25">
      <c r="A403">
        <v>607</v>
      </c>
    </row>
    <row r="404" spans="1:1" x14ac:dyDescent="0.25">
      <c r="A404">
        <v>608</v>
      </c>
    </row>
    <row r="405" spans="1:1" x14ac:dyDescent="0.25">
      <c r="A405">
        <v>609</v>
      </c>
    </row>
    <row r="406" spans="1:1" x14ac:dyDescent="0.25">
      <c r="A406">
        <v>610</v>
      </c>
    </row>
    <row r="407" spans="1:1" x14ac:dyDescent="0.25">
      <c r="A407">
        <v>611</v>
      </c>
    </row>
    <row r="408" spans="1:1" x14ac:dyDescent="0.25">
      <c r="A408">
        <v>612</v>
      </c>
    </row>
    <row r="409" spans="1:1" x14ac:dyDescent="0.25">
      <c r="A409">
        <v>613</v>
      </c>
    </row>
    <row r="410" spans="1:1" x14ac:dyDescent="0.25">
      <c r="A410">
        <v>614</v>
      </c>
    </row>
    <row r="411" spans="1:1" x14ac:dyDescent="0.25">
      <c r="A411">
        <v>615</v>
      </c>
    </row>
    <row r="412" spans="1:1" x14ac:dyDescent="0.25">
      <c r="A412">
        <v>616</v>
      </c>
    </row>
    <row r="413" spans="1:1" x14ac:dyDescent="0.25">
      <c r="A413">
        <v>617</v>
      </c>
    </row>
    <row r="414" spans="1:1" x14ac:dyDescent="0.25">
      <c r="A414">
        <v>618</v>
      </c>
    </row>
    <row r="415" spans="1:1" x14ac:dyDescent="0.25">
      <c r="A415">
        <v>619</v>
      </c>
    </row>
    <row r="416" spans="1:1" x14ac:dyDescent="0.25">
      <c r="A416">
        <v>620</v>
      </c>
    </row>
    <row r="417" spans="1:1" x14ac:dyDescent="0.25">
      <c r="A417">
        <v>621</v>
      </c>
    </row>
    <row r="418" spans="1:1" x14ac:dyDescent="0.25">
      <c r="A418">
        <v>622</v>
      </c>
    </row>
    <row r="419" spans="1:1" x14ac:dyDescent="0.25">
      <c r="A419">
        <v>623</v>
      </c>
    </row>
    <row r="420" spans="1:1" x14ac:dyDescent="0.25">
      <c r="A420">
        <v>624</v>
      </c>
    </row>
    <row r="421" spans="1:1" x14ac:dyDescent="0.25">
      <c r="A421">
        <v>625</v>
      </c>
    </row>
    <row r="422" spans="1:1" x14ac:dyDescent="0.25">
      <c r="A422">
        <v>626</v>
      </c>
    </row>
    <row r="423" spans="1:1" x14ac:dyDescent="0.25">
      <c r="A423">
        <v>627</v>
      </c>
    </row>
    <row r="424" spans="1:1" x14ac:dyDescent="0.25">
      <c r="A424">
        <v>628</v>
      </c>
    </row>
    <row r="425" spans="1:1" x14ac:dyDescent="0.25">
      <c r="A425">
        <v>629</v>
      </c>
    </row>
    <row r="426" spans="1:1" x14ac:dyDescent="0.25">
      <c r="A426">
        <v>630</v>
      </c>
    </row>
    <row r="427" spans="1:1" x14ac:dyDescent="0.25">
      <c r="A427">
        <v>631</v>
      </c>
    </row>
    <row r="428" spans="1:1" x14ac:dyDescent="0.25">
      <c r="A428">
        <v>632</v>
      </c>
    </row>
    <row r="429" spans="1:1" x14ac:dyDescent="0.25">
      <c r="A429">
        <v>633</v>
      </c>
    </row>
    <row r="430" spans="1:1" x14ac:dyDescent="0.25">
      <c r="A430">
        <v>634</v>
      </c>
    </row>
    <row r="431" spans="1:1" x14ac:dyDescent="0.25">
      <c r="A431">
        <v>635</v>
      </c>
    </row>
    <row r="432" spans="1:1" x14ac:dyDescent="0.25">
      <c r="A432">
        <v>636</v>
      </c>
    </row>
    <row r="433" spans="1:1" x14ac:dyDescent="0.25">
      <c r="A433">
        <v>637</v>
      </c>
    </row>
    <row r="434" spans="1:1" x14ac:dyDescent="0.25">
      <c r="A434">
        <v>638</v>
      </c>
    </row>
    <row r="435" spans="1:1" x14ac:dyDescent="0.25">
      <c r="A435">
        <v>639</v>
      </c>
    </row>
    <row r="436" spans="1:1" x14ac:dyDescent="0.25">
      <c r="A436">
        <v>640</v>
      </c>
    </row>
    <row r="437" spans="1:1" x14ac:dyDescent="0.25">
      <c r="A437">
        <v>641</v>
      </c>
    </row>
    <row r="438" spans="1:1" x14ac:dyDescent="0.25">
      <c r="A438">
        <v>642</v>
      </c>
    </row>
    <row r="439" spans="1:1" x14ac:dyDescent="0.25">
      <c r="A439">
        <v>643</v>
      </c>
    </row>
    <row r="440" spans="1:1" x14ac:dyDescent="0.25">
      <c r="A440">
        <v>644</v>
      </c>
    </row>
    <row r="441" spans="1:1" x14ac:dyDescent="0.25">
      <c r="A441">
        <v>645</v>
      </c>
    </row>
    <row r="442" spans="1:1" x14ac:dyDescent="0.25">
      <c r="A442">
        <v>646</v>
      </c>
    </row>
    <row r="443" spans="1:1" x14ac:dyDescent="0.25">
      <c r="A443">
        <v>647</v>
      </c>
    </row>
    <row r="444" spans="1:1" x14ac:dyDescent="0.25">
      <c r="A444">
        <v>648</v>
      </c>
    </row>
    <row r="445" spans="1:1" x14ac:dyDescent="0.25">
      <c r="A445">
        <v>649</v>
      </c>
    </row>
    <row r="446" spans="1:1" x14ac:dyDescent="0.25">
      <c r="A446">
        <v>650</v>
      </c>
    </row>
    <row r="447" spans="1:1" x14ac:dyDescent="0.25">
      <c r="A447">
        <v>651</v>
      </c>
    </row>
    <row r="448" spans="1:1" x14ac:dyDescent="0.25">
      <c r="A448">
        <v>652</v>
      </c>
    </row>
    <row r="449" spans="1:1" x14ac:dyDescent="0.25">
      <c r="A449">
        <v>653</v>
      </c>
    </row>
    <row r="450" spans="1:1" x14ac:dyDescent="0.25">
      <c r="A450">
        <v>654</v>
      </c>
    </row>
    <row r="451" spans="1:1" x14ac:dyDescent="0.25">
      <c r="A451">
        <v>655</v>
      </c>
    </row>
    <row r="452" spans="1:1" x14ac:dyDescent="0.25">
      <c r="A452">
        <v>656</v>
      </c>
    </row>
    <row r="453" spans="1:1" x14ac:dyDescent="0.25">
      <c r="A453">
        <v>657</v>
      </c>
    </row>
    <row r="454" spans="1:1" x14ac:dyDescent="0.25">
      <c r="A454">
        <v>658</v>
      </c>
    </row>
    <row r="455" spans="1:1" x14ac:dyDescent="0.25">
      <c r="A455">
        <v>659</v>
      </c>
    </row>
    <row r="456" spans="1:1" x14ac:dyDescent="0.25">
      <c r="A456">
        <v>660</v>
      </c>
    </row>
    <row r="457" spans="1:1" x14ac:dyDescent="0.25">
      <c r="A457">
        <v>661</v>
      </c>
    </row>
    <row r="458" spans="1:1" x14ac:dyDescent="0.25">
      <c r="A458">
        <v>662</v>
      </c>
    </row>
    <row r="459" spans="1:1" x14ac:dyDescent="0.25">
      <c r="A459">
        <v>663</v>
      </c>
    </row>
    <row r="460" spans="1:1" x14ac:dyDescent="0.25">
      <c r="A460">
        <v>664</v>
      </c>
    </row>
    <row r="461" spans="1:1" x14ac:dyDescent="0.25">
      <c r="A461">
        <v>665</v>
      </c>
    </row>
    <row r="462" spans="1:1" x14ac:dyDescent="0.25">
      <c r="A462">
        <v>666</v>
      </c>
    </row>
    <row r="463" spans="1:1" x14ac:dyDescent="0.25">
      <c r="A463">
        <v>667</v>
      </c>
    </row>
    <row r="464" spans="1:1" x14ac:dyDescent="0.25">
      <c r="A464">
        <v>668</v>
      </c>
    </row>
    <row r="465" spans="1:1" x14ac:dyDescent="0.25">
      <c r="A465">
        <v>669</v>
      </c>
    </row>
    <row r="466" spans="1:1" x14ac:dyDescent="0.25">
      <c r="A466">
        <v>670</v>
      </c>
    </row>
    <row r="467" spans="1:1" x14ac:dyDescent="0.25">
      <c r="A467">
        <v>671</v>
      </c>
    </row>
    <row r="468" spans="1:1" x14ac:dyDescent="0.25">
      <c r="A468">
        <v>672</v>
      </c>
    </row>
    <row r="469" spans="1:1" x14ac:dyDescent="0.25">
      <c r="A469">
        <v>673</v>
      </c>
    </row>
    <row r="470" spans="1:1" x14ac:dyDescent="0.25">
      <c r="A470">
        <v>674</v>
      </c>
    </row>
    <row r="471" spans="1:1" x14ac:dyDescent="0.25">
      <c r="A471">
        <v>675</v>
      </c>
    </row>
    <row r="472" spans="1:1" x14ac:dyDescent="0.25">
      <c r="A472">
        <v>676</v>
      </c>
    </row>
    <row r="473" spans="1:1" x14ac:dyDescent="0.25">
      <c r="A473">
        <v>677</v>
      </c>
    </row>
    <row r="474" spans="1:1" x14ac:dyDescent="0.25">
      <c r="A474">
        <v>678</v>
      </c>
    </row>
    <row r="475" spans="1:1" x14ac:dyDescent="0.25">
      <c r="A475">
        <v>679</v>
      </c>
    </row>
    <row r="476" spans="1:1" x14ac:dyDescent="0.25">
      <c r="A476">
        <v>680</v>
      </c>
    </row>
    <row r="477" spans="1:1" x14ac:dyDescent="0.25">
      <c r="A477">
        <v>681</v>
      </c>
    </row>
    <row r="478" spans="1:1" x14ac:dyDescent="0.25">
      <c r="A478">
        <v>682</v>
      </c>
    </row>
    <row r="479" spans="1:1" x14ac:dyDescent="0.25">
      <c r="A479">
        <v>683</v>
      </c>
    </row>
    <row r="480" spans="1:1" x14ac:dyDescent="0.25">
      <c r="A480">
        <v>684</v>
      </c>
    </row>
    <row r="481" spans="1:1" x14ac:dyDescent="0.25">
      <c r="A481">
        <v>685</v>
      </c>
    </row>
    <row r="482" spans="1:1" x14ac:dyDescent="0.25">
      <c r="A482">
        <v>686</v>
      </c>
    </row>
    <row r="483" spans="1:1" x14ac:dyDescent="0.25">
      <c r="A483">
        <v>687</v>
      </c>
    </row>
    <row r="484" spans="1:1" x14ac:dyDescent="0.25">
      <c r="A484">
        <v>688</v>
      </c>
    </row>
    <row r="485" spans="1:1" x14ac:dyDescent="0.25">
      <c r="A485">
        <v>689</v>
      </c>
    </row>
    <row r="486" spans="1:1" x14ac:dyDescent="0.25">
      <c r="A486">
        <v>690</v>
      </c>
    </row>
    <row r="487" spans="1:1" x14ac:dyDescent="0.25">
      <c r="A487">
        <v>691</v>
      </c>
    </row>
    <row r="488" spans="1:1" x14ac:dyDescent="0.25">
      <c r="A488">
        <v>692</v>
      </c>
    </row>
    <row r="489" spans="1:1" x14ac:dyDescent="0.25">
      <c r="A489">
        <v>693</v>
      </c>
    </row>
    <row r="490" spans="1:1" x14ac:dyDescent="0.25">
      <c r="A490">
        <v>694</v>
      </c>
    </row>
    <row r="491" spans="1:1" x14ac:dyDescent="0.25">
      <c r="A491">
        <v>695</v>
      </c>
    </row>
    <row r="492" spans="1:1" x14ac:dyDescent="0.25">
      <c r="A492">
        <v>696</v>
      </c>
    </row>
    <row r="493" spans="1:1" x14ac:dyDescent="0.25">
      <c r="A493">
        <v>697</v>
      </c>
    </row>
    <row r="494" spans="1:1" x14ac:dyDescent="0.25">
      <c r="A494">
        <v>698</v>
      </c>
    </row>
    <row r="495" spans="1:1" x14ac:dyDescent="0.25">
      <c r="A495">
        <v>699</v>
      </c>
    </row>
    <row r="496" spans="1:1" x14ac:dyDescent="0.25">
      <c r="A496">
        <v>700</v>
      </c>
    </row>
    <row r="497" spans="1:1" x14ac:dyDescent="0.25">
      <c r="A497">
        <v>701</v>
      </c>
    </row>
    <row r="498" spans="1:1" x14ac:dyDescent="0.25">
      <c r="A498">
        <v>702</v>
      </c>
    </row>
    <row r="499" spans="1:1" x14ac:dyDescent="0.25">
      <c r="A499">
        <v>703</v>
      </c>
    </row>
    <row r="500" spans="1:1" x14ac:dyDescent="0.25">
      <c r="A500">
        <v>704</v>
      </c>
    </row>
    <row r="501" spans="1:1" x14ac:dyDescent="0.25">
      <c r="A501">
        <v>705</v>
      </c>
    </row>
    <row r="502" spans="1:1" x14ac:dyDescent="0.25">
      <c r="A502">
        <v>706</v>
      </c>
    </row>
    <row r="503" spans="1:1" x14ac:dyDescent="0.25">
      <c r="A503">
        <v>707</v>
      </c>
    </row>
    <row r="504" spans="1:1" x14ac:dyDescent="0.25">
      <c r="A504">
        <v>708</v>
      </c>
    </row>
    <row r="505" spans="1:1" x14ac:dyDescent="0.25">
      <c r="A505">
        <v>709</v>
      </c>
    </row>
    <row r="506" spans="1:1" x14ac:dyDescent="0.25">
      <c r="A506">
        <v>710</v>
      </c>
    </row>
    <row r="507" spans="1:1" x14ac:dyDescent="0.25">
      <c r="A507">
        <v>711</v>
      </c>
    </row>
    <row r="508" spans="1:1" x14ac:dyDescent="0.25">
      <c r="A508">
        <v>712</v>
      </c>
    </row>
    <row r="509" spans="1:1" x14ac:dyDescent="0.25">
      <c r="A509">
        <v>713</v>
      </c>
    </row>
    <row r="510" spans="1:1" x14ac:dyDescent="0.25">
      <c r="A510">
        <v>714</v>
      </c>
    </row>
    <row r="511" spans="1:1" x14ac:dyDescent="0.25">
      <c r="A511">
        <v>715</v>
      </c>
    </row>
    <row r="512" spans="1:1" x14ac:dyDescent="0.25">
      <c r="A512">
        <v>716</v>
      </c>
    </row>
    <row r="513" spans="1:1" x14ac:dyDescent="0.25">
      <c r="A513">
        <v>717</v>
      </c>
    </row>
    <row r="514" spans="1:1" x14ac:dyDescent="0.25">
      <c r="A514">
        <v>718</v>
      </c>
    </row>
    <row r="515" spans="1:1" x14ac:dyDescent="0.25">
      <c r="A515">
        <v>719</v>
      </c>
    </row>
    <row r="516" spans="1:1" x14ac:dyDescent="0.25">
      <c r="A516">
        <v>720</v>
      </c>
    </row>
    <row r="517" spans="1:1" x14ac:dyDescent="0.25">
      <c r="A517">
        <v>721</v>
      </c>
    </row>
    <row r="518" spans="1:1" x14ac:dyDescent="0.25">
      <c r="A518">
        <v>722</v>
      </c>
    </row>
    <row r="519" spans="1:1" x14ac:dyDescent="0.25">
      <c r="A519">
        <v>723</v>
      </c>
    </row>
    <row r="520" spans="1:1" x14ac:dyDescent="0.25">
      <c r="A520">
        <v>724</v>
      </c>
    </row>
    <row r="521" spans="1:1" x14ac:dyDescent="0.25">
      <c r="A521">
        <v>725</v>
      </c>
    </row>
    <row r="522" spans="1:1" x14ac:dyDescent="0.25">
      <c r="A522">
        <v>726</v>
      </c>
    </row>
    <row r="523" spans="1:1" x14ac:dyDescent="0.25">
      <c r="A523">
        <v>727</v>
      </c>
    </row>
    <row r="524" spans="1:1" x14ac:dyDescent="0.25">
      <c r="A524">
        <v>728</v>
      </c>
    </row>
    <row r="525" spans="1:1" x14ac:dyDescent="0.25">
      <c r="A525">
        <v>729</v>
      </c>
    </row>
    <row r="526" spans="1:1" x14ac:dyDescent="0.25">
      <c r="A526">
        <v>730</v>
      </c>
    </row>
    <row r="527" spans="1:1" x14ac:dyDescent="0.25">
      <c r="A527">
        <v>731</v>
      </c>
    </row>
    <row r="528" spans="1:1" x14ac:dyDescent="0.25">
      <c r="A528">
        <v>732</v>
      </c>
    </row>
    <row r="529" spans="1:1" x14ac:dyDescent="0.25">
      <c r="A529">
        <v>733</v>
      </c>
    </row>
    <row r="530" spans="1:1" x14ac:dyDescent="0.25">
      <c r="A530">
        <v>734</v>
      </c>
    </row>
    <row r="531" spans="1:1" x14ac:dyDescent="0.25">
      <c r="A531">
        <v>735</v>
      </c>
    </row>
    <row r="532" spans="1:1" x14ac:dyDescent="0.25">
      <c r="A532">
        <v>736</v>
      </c>
    </row>
    <row r="533" spans="1:1" x14ac:dyDescent="0.25">
      <c r="A533">
        <v>737</v>
      </c>
    </row>
    <row r="534" spans="1:1" x14ac:dyDescent="0.25">
      <c r="A534">
        <v>738</v>
      </c>
    </row>
    <row r="535" spans="1:1" x14ac:dyDescent="0.25">
      <c r="A535">
        <v>739</v>
      </c>
    </row>
    <row r="536" spans="1:1" x14ac:dyDescent="0.25">
      <c r="A536">
        <v>740</v>
      </c>
    </row>
    <row r="537" spans="1:1" x14ac:dyDescent="0.25">
      <c r="A537">
        <v>741</v>
      </c>
    </row>
    <row r="538" spans="1:1" x14ac:dyDescent="0.25">
      <c r="A538">
        <v>742</v>
      </c>
    </row>
    <row r="539" spans="1:1" x14ac:dyDescent="0.25">
      <c r="A539">
        <v>743</v>
      </c>
    </row>
    <row r="540" spans="1:1" x14ac:dyDescent="0.25">
      <c r="A540">
        <v>744</v>
      </c>
    </row>
    <row r="541" spans="1:1" x14ac:dyDescent="0.25">
      <c r="A541">
        <v>745</v>
      </c>
    </row>
    <row r="542" spans="1:1" x14ac:dyDescent="0.25">
      <c r="A542">
        <v>746</v>
      </c>
    </row>
    <row r="543" spans="1:1" x14ac:dyDescent="0.25">
      <c r="A543">
        <v>747</v>
      </c>
    </row>
    <row r="544" spans="1:1" x14ac:dyDescent="0.25">
      <c r="A544">
        <v>748</v>
      </c>
    </row>
    <row r="545" spans="1:1" x14ac:dyDescent="0.25">
      <c r="A545">
        <v>749</v>
      </c>
    </row>
    <row r="546" spans="1:1" x14ac:dyDescent="0.25">
      <c r="A546">
        <v>750</v>
      </c>
    </row>
    <row r="547" spans="1:1" x14ac:dyDescent="0.25">
      <c r="A547">
        <v>751</v>
      </c>
    </row>
    <row r="548" spans="1:1" x14ac:dyDescent="0.25">
      <c r="A548">
        <v>752</v>
      </c>
    </row>
    <row r="549" spans="1:1" x14ac:dyDescent="0.25">
      <c r="A549">
        <v>753</v>
      </c>
    </row>
    <row r="550" spans="1:1" x14ac:dyDescent="0.25">
      <c r="A550">
        <v>754</v>
      </c>
    </row>
    <row r="551" spans="1:1" x14ac:dyDescent="0.25">
      <c r="A551">
        <v>755</v>
      </c>
    </row>
    <row r="552" spans="1:1" x14ac:dyDescent="0.25">
      <c r="A552">
        <v>756</v>
      </c>
    </row>
    <row r="553" spans="1:1" x14ac:dyDescent="0.25">
      <c r="A553">
        <v>757</v>
      </c>
    </row>
    <row r="554" spans="1:1" x14ac:dyDescent="0.25">
      <c r="A554">
        <v>758</v>
      </c>
    </row>
    <row r="555" spans="1:1" x14ac:dyDescent="0.25">
      <c r="A555">
        <v>759</v>
      </c>
    </row>
    <row r="556" spans="1:1" x14ac:dyDescent="0.25">
      <c r="A556">
        <v>760</v>
      </c>
    </row>
    <row r="557" spans="1:1" x14ac:dyDescent="0.25">
      <c r="A557">
        <v>761</v>
      </c>
    </row>
    <row r="558" spans="1:1" x14ac:dyDescent="0.25">
      <c r="A558">
        <v>762</v>
      </c>
    </row>
    <row r="559" spans="1:1" x14ac:dyDescent="0.25">
      <c r="A559">
        <v>763</v>
      </c>
    </row>
    <row r="560" spans="1:1" x14ac:dyDescent="0.25">
      <c r="A560">
        <v>764</v>
      </c>
    </row>
    <row r="561" spans="1:1" x14ac:dyDescent="0.25">
      <c r="A561">
        <v>765</v>
      </c>
    </row>
    <row r="562" spans="1:1" x14ac:dyDescent="0.25">
      <c r="A562">
        <v>766</v>
      </c>
    </row>
    <row r="563" spans="1:1" x14ac:dyDescent="0.25">
      <c r="A563">
        <v>767</v>
      </c>
    </row>
    <row r="564" spans="1:1" x14ac:dyDescent="0.25">
      <c r="A564">
        <v>768</v>
      </c>
    </row>
    <row r="565" spans="1:1" x14ac:dyDescent="0.25">
      <c r="A565">
        <v>769</v>
      </c>
    </row>
    <row r="566" spans="1:1" x14ac:dyDescent="0.25">
      <c r="A566">
        <v>770</v>
      </c>
    </row>
    <row r="567" spans="1:1" x14ac:dyDescent="0.25">
      <c r="A567">
        <v>771</v>
      </c>
    </row>
    <row r="568" spans="1:1" x14ac:dyDescent="0.25">
      <c r="A568">
        <v>772</v>
      </c>
    </row>
    <row r="569" spans="1:1" x14ac:dyDescent="0.25">
      <c r="A569">
        <v>773</v>
      </c>
    </row>
    <row r="570" spans="1:1" x14ac:dyDescent="0.25">
      <c r="A570">
        <v>774</v>
      </c>
    </row>
    <row r="571" spans="1:1" x14ac:dyDescent="0.25">
      <c r="A571">
        <v>775</v>
      </c>
    </row>
    <row r="572" spans="1:1" x14ac:dyDescent="0.25">
      <c r="A572">
        <v>776</v>
      </c>
    </row>
    <row r="573" spans="1:1" x14ac:dyDescent="0.25">
      <c r="A573">
        <v>777</v>
      </c>
    </row>
    <row r="574" spans="1:1" x14ac:dyDescent="0.25">
      <c r="A574">
        <v>778</v>
      </c>
    </row>
    <row r="575" spans="1:1" x14ac:dyDescent="0.25">
      <c r="A575">
        <v>779</v>
      </c>
    </row>
    <row r="576" spans="1:1" x14ac:dyDescent="0.25">
      <c r="A576">
        <v>780</v>
      </c>
    </row>
    <row r="577" spans="1:1" x14ac:dyDescent="0.25">
      <c r="A577">
        <v>781</v>
      </c>
    </row>
    <row r="578" spans="1:1" x14ac:dyDescent="0.25">
      <c r="A578">
        <v>782</v>
      </c>
    </row>
    <row r="579" spans="1:1" x14ac:dyDescent="0.25">
      <c r="A579">
        <v>783</v>
      </c>
    </row>
    <row r="580" spans="1:1" x14ac:dyDescent="0.25">
      <c r="A580">
        <v>784</v>
      </c>
    </row>
    <row r="581" spans="1:1" x14ac:dyDescent="0.25">
      <c r="A581">
        <v>785</v>
      </c>
    </row>
    <row r="582" spans="1:1" x14ac:dyDescent="0.25">
      <c r="A582">
        <v>786</v>
      </c>
    </row>
    <row r="583" spans="1:1" x14ac:dyDescent="0.25">
      <c r="A583">
        <v>787</v>
      </c>
    </row>
    <row r="584" spans="1:1" x14ac:dyDescent="0.25">
      <c r="A584">
        <v>788</v>
      </c>
    </row>
    <row r="585" spans="1:1" x14ac:dyDescent="0.25">
      <c r="A585">
        <v>789</v>
      </c>
    </row>
    <row r="586" spans="1:1" x14ac:dyDescent="0.25">
      <c r="A586">
        <v>790</v>
      </c>
    </row>
    <row r="587" spans="1:1" x14ac:dyDescent="0.25">
      <c r="A587">
        <v>791</v>
      </c>
    </row>
    <row r="588" spans="1:1" x14ac:dyDescent="0.25">
      <c r="A588">
        <v>792</v>
      </c>
    </row>
    <row r="589" spans="1:1" x14ac:dyDescent="0.25">
      <c r="A589">
        <v>793</v>
      </c>
    </row>
    <row r="590" spans="1:1" x14ac:dyDescent="0.25">
      <c r="A590">
        <v>794</v>
      </c>
    </row>
    <row r="591" spans="1:1" x14ac:dyDescent="0.25">
      <c r="A591">
        <v>795</v>
      </c>
    </row>
    <row r="592" spans="1:1" x14ac:dyDescent="0.25">
      <c r="A592">
        <v>796</v>
      </c>
    </row>
    <row r="593" spans="1:1" x14ac:dyDescent="0.25">
      <c r="A593">
        <v>797</v>
      </c>
    </row>
    <row r="594" spans="1:1" x14ac:dyDescent="0.25">
      <c r="A594">
        <v>798</v>
      </c>
    </row>
    <row r="595" spans="1:1" x14ac:dyDescent="0.25">
      <c r="A595">
        <v>799</v>
      </c>
    </row>
    <row r="596" spans="1:1" x14ac:dyDescent="0.25">
      <c r="A596">
        <v>800</v>
      </c>
    </row>
    <row r="597" spans="1:1" x14ac:dyDescent="0.25">
      <c r="A597">
        <v>801</v>
      </c>
    </row>
    <row r="598" spans="1:1" x14ac:dyDescent="0.25">
      <c r="A598">
        <v>802</v>
      </c>
    </row>
    <row r="599" spans="1:1" x14ac:dyDescent="0.25">
      <c r="A599">
        <v>803</v>
      </c>
    </row>
    <row r="600" spans="1:1" x14ac:dyDescent="0.25">
      <c r="A600">
        <v>804</v>
      </c>
    </row>
    <row r="601" spans="1:1" x14ac:dyDescent="0.25">
      <c r="A601">
        <v>805</v>
      </c>
    </row>
    <row r="602" spans="1:1" x14ac:dyDescent="0.25">
      <c r="A602">
        <v>806</v>
      </c>
    </row>
    <row r="603" spans="1:1" x14ac:dyDescent="0.25">
      <c r="A603">
        <v>807</v>
      </c>
    </row>
    <row r="604" spans="1:1" x14ac:dyDescent="0.25">
      <c r="A604">
        <v>808</v>
      </c>
    </row>
    <row r="605" spans="1:1" x14ac:dyDescent="0.25">
      <c r="A605">
        <v>809</v>
      </c>
    </row>
    <row r="606" spans="1:1" x14ac:dyDescent="0.25">
      <c r="A606">
        <v>810</v>
      </c>
    </row>
    <row r="607" spans="1:1" x14ac:dyDescent="0.25">
      <c r="A607">
        <v>811</v>
      </c>
    </row>
    <row r="608" spans="1:1" x14ac:dyDescent="0.25">
      <c r="A608">
        <v>812</v>
      </c>
    </row>
    <row r="609" spans="1:1" x14ac:dyDescent="0.25">
      <c r="A609">
        <v>813</v>
      </c>
    </row>
    <row r="610" spans="1:1" x14ac:dyDescent="0.25">
      <c r="A610">
        <v>814</v>
      </c>
    </row>
    <row r="611" spans="1:1" x14ac:dyDescent="0.25">
      <c r="A611">
        <v>815</v>
      </c>
    </row>
    <row r="612" spans="1:1" x14ac:dyDescent="0.25">
      <c r="A612">
        <v>816</v>
      </c>
    </row>
    <row r="613" spans="1:1" x14ac:dyDescent="0.25">
      <c r="A613">
        <v>817</v>
      </c>
    </row>
    <row r="614" spans="1:1" x14ac:dyDescent="0.25">
      <c r="A614">
        <v>818</v>
      </c>
    </row>
    <row r="615" spans="1:1" x14ac:dyDescent="0.25">
      <c r="A615">
        <v>819</v>
      </c>
    </row>
    <row r="616" spans="1:1" x14ac:dyDescent="0.25">
      <c r="A616">
        <v>820</v>
      </c>
    </row>
    <row r="617" spans="1:1" x14ac:dyDescent="0.25">
      <c r="A617">
        <v>821</v>
      </c>
    </row>
    <row r="618" spans="1:1" x14ac:dyDescent="0.25">
      <c r="A618">
        <v>822</v>
      </c>
    </row>
    <row r="619" spans="1:1" x14ac:dyDescent="0.25">
      <c r="A619">
        <v>823</v>
      </c>
    </row>
    <row r="620" spans="1:1" x14ac:dyDescent="0.25">
      <c r="A620">
        <v>824</v>
      </c>
    </row>
    <row r="621" spans="1:1" x14ac:dyDescent="0.25">
      <c r="A621">
        <v>825</v>
      </c>
    </row>
    <row r="622" spans="1:1" x14ac:dyDescent="0.25">
      <c r="A622">
        <v>826</v>
      </c>
    </row>
    <row r="623" spans="1:1" x14ac:dyDescent="0.25">
      <c r="A623">
        <v>827</v>
      </c>
    </row>
    <row r="624" spans="1:1" x14ac:dyDescent="0.25">
      <c r="A624">
        <v>828</v>
      </c>
    </row>
    <row r="625" spans="1:1" x14ac:dyDescent="0.25">
      <c r="A625">
        <v>829</v>
      </c>
    </row>
    <row r="626" spans="1:1" x14ac:dyDescent="0.25">
      <c r="A626">
        <v>830</v>
      </c>
    </row>
    <row r="627" spans="1:1" x14ac:dyDescent="0.25">
      <c r="A627">
        <v>831</v>
      </c>
    </row>
    <row r="628" spans="1:1" x14ac:dyDescent="0.25">
      <c r="A628">
        <v>832</v>
      </c>
    </row>
    <row r="629" spans="1:1" x14ac:dyDescent="0.25">
      <c r="A629">
        <v>833</v>
      </c>
    </row>
    <row r="630" spans="1:1" x14ac:dyDescent="0.25">
      <c r="A630">
        <v>834</v>
      </c>
    </row>
    <row r="631" spans="1:1" x14ac:dyDescent="0.25">
      <c r="A631">
        <v>835</v>
      </c>
    </row>
    <row r="632" spans="1:1" x14ac:dyDescent="0.25">
      <c r="A632">
        <v>836</v>
      </c>
    </row>
    <row r="633" spans="1:1" x14ac:dyDescent="0.25">
      <c r="A633">
        <v>837</v>
      </c>
    </row>
    <row r="634" spans="1:1" x14ac:dyDescent="0.25">
      <c r="A634">
        <v>838</v>
      </c>
    </row>
    <row r="635" spans="1:1" x14ac:dyDescent="0.25">
      <c r="A635">
        <v>839</v>
      </c>
    </row>
    <row r="636" spans="1:1" x14ac:dyDescent="0.25">
      <c r="A636">
        <v>840</v>
      </c>
    </row>
    <row r="637" spans="1:1" x14ac:dyDescent="0.25">
      <c r="A637">
        <v>841</v>
      </c>
    </row>
    <row r="638" spans="1:1" x14ac:dyDescent="0.25">
      <c r="A638">
        <v>842</v>
      </c>
    </row>
    <row r="639" spans="1:1" x14ac:dyDescent="0.25">
      <c r="A639">
        <v>843</v>
      </c>
    </row>
    <row r="640" spans="1:1" x14ac:dyDescent="0.25">
      <c r="A640">
        <v>844</v>
      </c>
    </row>
    <row r="641" spans="1:1" x14ac:dyDescent="0.25">
      <c r="A641">
        <v>845</v>
      </c>
    </row>
    <row r="642" spans="1:1" x14ac:dyDescent="0.25">
      <c r="A642">
        <v>846</v>
      </c>
    </row>
    <row r="643" spans="1:1" x14ac:dyDescent="0.25">
      <c r="A643">
        <v>847</v>
      </c>
    </row>
    <row r="644" spans="1:1" x14ac:dyDescent="0.25">
      <c r="A644">
        <v>848</v>
      </c>
    </row>
    <row r="645" spans="1:1" x14ac:dyDescent="0.25">
      <c r="A645">
        <v>849</v>
      </c>
    </row>
    <row r="646" spans="1:1" x14ac:dyDescent="0.25">
      <c r="A646">
        <v>850</v>
      </c>
    </row>
    <row r="647" spans="1:1" x14ac:dyDescent="0.25">
      <c r="A647">
        <v>851</v>
      </c>
    </row>
    <row r="648" spans="1:1" x14ac:dyDescent="0.25">
      <c r="A648">
        <v>852</v>
      </c>
    </row>
    <row r="649" spans="1:1" x14ac:dyDescent="0.25">
      <c r="A649">
        <v>853</v>
      </c>
    </row>
    <row r="650" spans="1:1" x14ac:dyDescent="0.25">
      <c r="A650">
        <v>854</v>
      </c>
    </row>
    <row r="651" spans="1:1" x14ac:dyDescent="0.25">
      <c r="A651">
        <v>855</v>
      </c>
    </row>
    <row r="652" spans="1:1" x14ac:dyDescent="0.25">
      <c r="A652">
        <v>856</v>
      </c>
    </row>
    <row r="653" spans="1:1" x14ac:dyDescent="0.25">
      <c r="A653">
        <v>857</v>
      </c>
    </row>
    <row r="654" spans="1:1" x14ac:dyDescent="0.25">
      <c r="A654">
        <v>858</v>
      </c>
    </row>
    <row r="655" spans="1:1" x14ac:dyDescent="0.25">
      <c r="A655">
        <v>859</v>
      </c>
    </row>
    <row r="656" spans="1:1" x14ac:dyDescent="0.25">
      <c r="A656">
        <v>860</v>
      </c>
    </row>
    <row r="657" spans="1:1" x14ac:dyDescent="0.25">
      <c r="A657">
        <v>861</v>
      </c>
    </row>
    <row r="658" spans="1:1" x14ac:dyDescent="0.25">
      <c r="A658">
        <v>862</v>
      </c>
    </row>
    <row r="659" spans="1:1" x14ac:dyDescent="0.25">
      <c r="A659">
        <v>863</v>
      </c>
    </row>
    <row r="660" spans="1:1" x14ac:dyDescent="0.25">
      <c r="A660">
        <v>864</v>
      </c>
    </row>
    <row r="661" spans="1:1" x14ac:dyDescent="0.25">
      <c r="A661">
        <v>865</v>
      </c>
    </row>
    <row r="662" spans="1:1" x14ac:dyDescent="0.25">
      <c r="A662">
        <v>866</v>
      </c>
    </row>
    <row r="663" spans="1:1" x14ac:dyDescent="0.25">
      <c r="A663">
        <v>867</v>
      </c>
    </row>
    <row r="664" spans="1:1" x14ac:dyDescent="0.25">
      <c r="A664">
        <v>868</v>
      </c>
    </row>
    <row r="665" spans="1:1" x14ac:dyDescent="0.25">
      <c r="A665">
        <v>869</v>
      </c>
    </row>
    <row r="666" spans="1:1" x14ac:dyDescent="0.25">
      <c r="A666">
        <v>870</v>
      </c>
    </row>
    <row r="667" spans="1:1" x14ac:dyDescent="0.25">
      <c r="A667">
        <v>871</v>
      </c>
    </row>
    <row r="668" spans="1:1" x14ac:dyDescent="0.25">
      <c r="A668">
        <v>872</v>
      </c>
    </row>
    <row r="669" spans="1:1" x14ac:dyDescent="0.25">
      <c r="A669">
        <v>873</v>
      </c>
    </row>
    <row r="670" spans="1:1" x14ac:dyDescent="0.25">
      <c r="A670">
        <v>874</v>
      </c>
    </row>
    <row r="671" spans="1:1" x14ac:dyDescent="0.25">
      <c r="A671">
        <v>875</v>
      </c>
    </row>
    <row r="672" spans="1:1" x14ac:dyDescent="0.25">
      <c r="A672">
        <v>876</v>
      </c>
    </row>
    <row r="673" spans="1:1" x14ac:dyDescent="0.25">
      <c r="A673">
        <v>877</v>
      </c>
    </row>
    <row r="674" spans="1:1" x14ac:dyDescent="0.25">
      <c r="A674">
        <v>878</v>
      </c>
    </row>
    <row r="675" spans="1:1" x14ac:dyDescent="0.25">
      <c r="A675">
        <v>879</v>
      </c>
    </row>
    <row r="676" spans="1:1" x14ac:dyDescent="0.25">
      <c r="A676">
        <v>880</v>
      </c>
    </row>
    <row r="677" spans="1:1" x14ac:dyDescent="0.25">
      <c r="A677">
        <v>881</v>
      </c>
    </row>
    <row r="678" spans="1:1" x14ac:dyDescent="0.25">
      <c r="A678">
        <v>882</v>
      </c>
    </row>
    <row r="679" spans="1:1" x14ac:dyDescent="0.25">
      <c r="A679">
        <v>883</v>
      </c>
    </row>
    <row r="680" spans="1:1" x14ac:dyDescent="0.25">
      <c r="A680">
        <v>884</v>
      </c>
    </row>
    <row r="681" spans="1:1" x14ac:dyDescent="0.25">
      <c r="A681">
        <v>885</v>
      </c>
    </row>
    <row r="682" spans="1:1" x14ac:dyDescent="0.25">
      <c r="A682">
        <v>886</v>
      </c>
    </row>
    <row r="683" spans="1:1" x14ac:dyDescent="0.25">
      <c r="A683">
        <v>887</v>
      </c>
    </row>
    <row r="684" spans="1:1" x14ac:dyDescent="0.25">
      <c r="A684">
        <v>888</v>
      </c>
    </row>
    <row r="685" spans="1:1" x14ac:dyDescent="0.25">
      <c r="A685">
        <v>889</v>
      </c>
    </row>
    <row r="686" spans="1:1" x14ac:dyDescent="0.25">
      <c r="A686">
        <v>890</v>
      </c>
    </row>
    <row r="687" spans="1:1" x14ac:dyDescent="0.25">
      <c r="A687">
        <v>891</v>
      </c>
    </row>
    <row r="688" spans="1:1" x14ac:dyDescent="0.25">
      <c r="A688">
        <v>892</v>
      </c>
    </row>
    <row r="689" spans="1:1" x14ac:dyDescent="0.25">
      <c r="A689">
        <v>893</v>
      </c>
    </row>
    <row r="690" spans="1:1" x14ac:dyDescent="0.25">
      <c r="A690">
        <v>894</v>
      </c>
    </row>
    <row r="691" spans="1:1" x14ac:dyDescent="0.25">
      <c r="A691">
        <v>895</v>
      </c>
    </row>
    <row r="692" spans="1:1" x14ac:dyDescent="0.25">
      <c r="A692">
        <v>896</v>
      </c>
    </row>
    <row r="693" spans="1:1" x14ac:dyDescent="0.25">
      <c r="A693">
        <v>897</v>
      </c>
    </row>
    <row r="694" spans="1:1" x14ac:dyDescent="0.25">
      <c r="A694">
        <v>898</v>
      </c>
    </row>
    <row r="695" spans="1:1" x14ac:dyDescent="0.25">
      <c r="A695">
        <v>899</v>
      </c>
    </row>
    <row r="696" spans="1:1" x14ac:dyDescent="0.25">
      <c r="A696">
        <v>900</v>
      </c>
    </row>
    <row r="697" spans="1:1" x14ac:dyDescent="0.25">
      <c r="A697">
        <v>901</v>
      </c>
    </row>
    <row r="698" spans="1:1" x14ac:dyDescent="0.25">
      <c r="A698">
        <v>902</v>
      </c>
    </row>
    <row r="699" spans="1:1" x14ac:dyDescent="0.25">
      <c r="A699">
        <v>903</v>
      </c>
    </row>
    <row r="700" spans="1:1" x14ac:dyDescent="0.25">
      <c r="A700">
        <v>904</v>
      </c>
    </row>
    <row r="701" spans="1:1" x14ac:dyDescent="0.25">
      <c r="A701">
        <v>905</v>
      </c>
    </row>
    <row r="702" spans="1:1" x14ac:dyDescent="0.25">
      <c r="A702">
        <v>906</v>
      </c>
    </row>
    <row r="703" spans="1:1" x14ac:dyDescent="0.25">
      <c r="A703">
        <v>907</v>
      </c>
    </row>
    <row r="704" spans="1:1" x14ac:dyDescent="0.25">
      <c r="A704">
        <v>908</v>
      </c>
    </row>
    <row r="705" spans="1:1" x14ac:dyDescent="0.25">
      <c r="A705">
        <v>909</v>
      </c>
    </row>
    <row r="706" spans="1:1" x14ac:dyDescent="0.25">
      <c r="A706">
        <v>910</v>
      </c>
    </row>
    <row r="707" spans="1:1" x14ac:dyDescent="0.25">
      <c r="A707">
        <v>911</v>
      </c>
    </row>
    <row r="708" spans="1:1" x14ac:dyDescent="0.25">
      <c r="A708">
        <v>912</v>
      </c>
    </row>
    <row r="709" spans="1:1" x14ac:dyDescent="0.25">
      <c r="A709">
        <v>913</v>
      </c>
    </row>
    <row r="710" spans="1:1" x14ac:dyDescent="0.25">
      <c r="A710">
        <v>914</v>
      </c>
    </row>
    <row r="711" spans="1:1" x14ac:dyDescent="0.25">
      <c r="A711">
        <v>915</v>
      </c>
    </row>
    <row r="712" spans="1:1" x14ac:dyDescent="0.25">
      <c r="A712">
        <v>916</v>
      </c>
    </row>
    <row r="713" spans="1:1" x14ac:dyDescent="0.25">
      <c r="A713">
        <v>917</v>
      </c>
    </row>
    <row r="714" spans="1:1" x14ac:dyDescent="0.25">
      <c r="A714">
        <v>918</v>
      </c>
    </row>
    <row r="715" spans="1:1" x14ac:dyDescent="0.25">
      <c r="A715">
        <v>919</v>
      </c>
    </row>
    <row r="716" spans="1:1" x14ac:dyDescent="0.25">
      <c r="A716">
        <v>920</v>
      </c>
    </row>
    <row r="717" spans="1:1" x14ac:dyDescent="0.25">
      <c r="A717">
        <v>921</v>
      </c>
    </row>
    <row r="718" spans="1:1" x14ac:dyDescent="0.25">
      <c r="A718">
        <v>922</v>
      </c>
    </row>
    <row r="719" spans="1:1" x14ac:dyDescent="0.25">
      <c r="A719">
        <v>923</v>
      </c>
    </row>
    <row r="720" spans="1:1" x14ac:dyDescent="0.25">
      <c r="A720">
        <v>924</v>
      </c>
    </row>
    <row r="721" spans="1:1" x14ac:dyDescent="0.25">
      <c r="A721">
        <v>925</v>
      </c>
    </row>
    <row r="722" spans="1:1" x14ac:dyDescent="0.25">
      <c r="A722">
        <v>926</v>
      </c>
    </row>
    <row r="723" spans="1:1" x14ac:dyDescent="0.25">
      <c r="A723">
        <v>927</v>
      </c>
    </row>
    <row r="724" spans="1:1" x14ac:dyDescent="0.25">
      <c r="A724">
        <v>928</v>
      </c>
    </row>
    <row r="725" spans="1:1" x14ac:dyDescent="0.25">
      <c r="A725">
        <v>929</v>
      </c>
    </row>
    <row r="726" spans="1:1" x14ac:dyDescent="0.25">
      <c r="A726">
        <v>930</v>
      </c>
    </row>
    <row r="727" spans="1:1" x14ac:dyDescent="0.25">
      <c r="A727">
        <v>931</v>
      </c>
    </row>
    <row r="728" spans="1:1" x14ac:dyDescent="0.25">
      <c r="A728">
        <v>932</v>
      </c>
    </row>
    <row r="729" spans="1:1" x14ac:dyDescent="0.25">
      <c r="A729">
        <v>933</v>
      </c>
    </row>
    <row r="730" spans="1:1" x14ac:dyDescent="0.25">
      <c r="A730">
        <v>934</v>
      </c>
    </row>
    <row r="731" spans="1:1" x14ac:dyDescent="0.25">
      <c r="A731">
        <v>935</v>
      </c>
    </row>
    <row r="732" spans="1:1" x14ac:dyDescent="0.25">
      <c r="A732">
        <v>936</v>
      </c>
    </row>
    <row r="733" spans="1:1" x14ac:dyDescent="0.25">
      <c r="A733">
        <v>937</v>
      </c>
    </row>
    <row r="734" spans="1:1" x14ac:dyDescent="0.25">
      <c r="A734">
        <v>938</v>
      </c>
    </row>
    <row r="735" spans="1:1" x14ac:dyDescent="0.25">
      <c r="A735">
        <v>939</v>
      </c>
    </row>
    <row r="736" spans="1:1" x14ac:dyDescent="0.25">
      <c r="A736">
        <v>940</v>
      </c>
    </row>
    <row r="737" spans="1:1" x14ac:dyDescent="0.25">
      <c r="A737">
        <v>941</v>
      </c>
    </row>
    <row r="738" spans="1:1" x14ac:dyDescent="0.25">
      <c r="A738">
        <v>942</v>
      </c>
    </row>
    <row r="739" spans="1:1" x14ac:dyDescent="0.25">
      <c r="A739">
        <v>943</v>
      </c>
    </row>
    <row r="740" spans="1:1" x14ac:dyDescent="0.25">
      <c r="A740">
        <v>944</v>
      </c>
    </row>
    <row r="741" spans="1:1" x14ac:dyDescent="0.25">
      <c r="A741">
        <v>945</v>
      </c>
    </row>
    <row r="742" spans="1:1" x14ac:dyDescent="0.25">
      <c r="A742">
        <v>946</v>
      </c>
    </row>
    <row r="743" spans="1:1" x14ac:dyDescent="0.25">
      <c r="A743">
        <v>947</v>
      </c>
    </row>
    <row r="744" spans="1:1" x14ac:dyDescent="0.25">
      <c r="A744">
        <v>948</v>
      </c>
    </row>
    <row r="745" spans="1:1" x14ac:dyDescent="0.25">
      <c r="A745">
        <v>949</v>
      </c>
    </row>
    <row r="746" spans="1:1" x14ac:dyDescent="0.25">
      <c r="A746">
        <v>950</v>
      </c>
    </row>
    <row r="747" spans="1:1" x14ac:dyDescent="0.25">
      <c r="A747">
        <v>951</v>
      </c>
    </row>
    <row r="748" spans="1:1" x14ac:dyDescent="0.25">
      <c r="A748">
        <v>952</v>
      </c>
    </row>
    <row r="749" spans="1:1" x14ac:dyDescent="0.25">
      <c r="A749">
        <v>953</v>
      </c>
    </row>
    <row r="750" spans="1:1" x14ac:dyDescent="0.25">
      <c r="A750">
        <v>954</v>
      </c>
    </row>
    <row r="751" spans="1:1" x14ac:dyDescent="0.25">
      <c r="A751">
        <v>955</v>
      </c>
    </row>
    <row r="752" spans="1:1" x14ac:dyDescent="0.25">
      <c r="A752">
        <v>956</v>
      </c>
    </row>
    <row r="753" spans="1:1" x14ac:dyDescent="0.25">
      <c r="A753">
        <v>957</v>
      </c>
    </row>
    <row r="754" spans="1:1" x14ac:dyDescent="0.25">
      <c r="A754">
        <v>958</v>
      </c>
    </row>
    <row r="755" spans="1:1" x14ac:dyDescent="0.25">
      <c r="A755">
        <v>959</v>
      </c>
    </row>
    <row r="756" spans="1:1" x14ac:dyDescent="0.25">
      <c r="A756">
        <v>960</v>
      </c>
    </row>
    <row r="757" spans="1:1" x14ac:dyDescent="0.25">
      <c r="A757">
        <v>961</v>
      </c>
    </row>
    <row r="758" spans="1:1" x14ac:dyDescent="0.25">
      <c r="A758">
        <v>962</v>
      </c>
    </row>
    <row r="759" spans="1:1" x14ac:dyDescent="0.25">
      <c r="A759">
        <v>963</v>
      </c>
    </row>
    <row r="760" spans="1:1" x14ac:dyDescent="0.25">
      <c r="A760">
        <v>964</v>
      </c>
    </row>
    <row r="761" spans="1:1" x14ac:dyDescent="0.25">
      <c r="A761">
        <v>965</v>
      </c>
    </row>
    <row r="762" spans="1:1" x14ac:dyDescent="0.25">
      <c r="A762">
        <v>966</v>
      </c>
    </row>
    <row r="763" spans="1:1" x14ac:dyDescent="0.25">
      <c r="A763">
        <v>967</v>
      </c>
    </row>
    <row r="764" spans="1:1" x14ac:dyDescent="0.25">
      <c r="A764">
        <v>968</v>
      </c>
    </row>
    <row r="765" spans="1:1" x14ac:dyDescent="0.25">
      <c r="A765">
        <v>969</v>
      </c>
    </row>
    <row r="766" spans="1:1" x14ac:dyDescent="0.25">
      <c r="A766">
        <v>970</v>
      </c>
    </row>
    <row r="767" spans="1:1" x14ac:dyDescent="0.25">
      <c r="A767">
        <v>971</v>
      </c>
    </row>
    <row r="768" spans="1:1" x14ac:dyDescent="0.25">
      <c r="A768">
        <v>972</v>
      </c>
    </row>
    <row r="769" spans="1:1" x14ac:dyDescent="0.25">
      <c r="A769">
        <v>973</v>
      </c>
    </row>
    <row r="770" spans="1:1" x14ac:dyDescent="0.25">
      <c r="A770">
        <v>974</v>
      </c>
    </row>
    <row r="771" spans="1:1" x14ac:dyDescent="0.25">
      <c r="A771">
        <v>975</v>
      </c>
    </row>
    <row r="772" spans="1:1" x14ac:dyDescent="0.25">
      <c r="A772">
        <v>976</v>
      </c>
    </row>
    <row r="773" spans="1:1" x14ac:dyDescent="0.25">
      <c r="A773">
        <v>977</v>
      </c>
    </row>
    <row r="774" spans="1:1" x14ac:dyDescent="0.25">
      <c r="A774">
        <v>978</v>
      </c>
    </row>
    <row r="775" spans="1:1" x14ac:dyDescent="0.25">
      <c r="A775">
        <v>979</v>
      </c>
    </row>
    <row r="776" spans="1:1" x14ac:dyDescent="0.25">
      <c r="A776">
        <v>980</v>
      </c>
    </row>
    <row r="777" spans="1:1" x14ac:dyDescent="0.25">
      <c r="A777">
        <v>981</v>
      </c>
    </row>
    <row r="778" spans="1:1" x14ac:dyDescent="0.25">
      <c r="A778">
        <v>982</v>
      </c>
    </row>
    <row r="779" spans="1:1" x14ac:dyDescent="0.25">
      <c r="A779">
        <v>983</v>
      </c>
    </row>
    <row r="780" spans="1:1" x14ac:dyDescent="0.25">
      <c r="A780">
        <v>984</v>
      </c>
    </row>
    <row r="781" spans="1:1" x14ac:dyDescent="0.25">
      <c r="A781">
        <v>985</v>
      </c>
    </row>
    <row r="782" spans="1:1" x14ac:dyDescent="0.25">
      <c r="A782">
        <v>986</v>
      </c>
    </row>
    <row r="783" spans="1:1" x14ac:dyDescent="0.25">
      <c r="A783">
        <v>987</v>
      </c>
    </row>
    <row r="784" spans="1:1" x14ac:dyDescent="0.25">
      <c r="A784">
        <v>988</v>
      </c>
    </row>
    <row r="785" spans="1:1" x14ac:dyDescent="0.25">
      <c r="A785">
        <v>989</v>
      </c>
    </row>
    <row r="786" spans="1:1" x14ac:dyDescent="0.25">
      <c r="A786">
        <v>990</v>
      </c>
    </row>
    <row r="787" spans="1:1" x14ac:dyDescent="0.25">
      <c r="A787">
        <v>991</v>
      </c>
    </row>
    <row r="788" spans="1:1" x14ac:dyDescent="0.25">
      <c r="A788">
        <v>992</v>
      </c>
    </row>
    <row r="789" spans="1:1" x14ac:dyDescent="0.25">
      <c r="A789">
        <v>993</v>
      </c>
    </row>
    <row r="790" spans="1:1" x14ac:dyDescent="0.25">
      <c r="A790">
        <v>994</v>
      </c>
    </row>
    <row r="791" spans="1:1" x14ac:dyDescent="0.25">
      <c r="A791">
        <v>995</v>
      </c>
    </row>
    <row r="792" spans="1:1" x14ac:dyDescent="0.25">
      <c r="A792">
        <v>996</v>
      </c>
    </row>
    <row r="793" spans="1:1" x14ac:dyDescent="0.25">
      <c r="A793">
        <v>997</v>
      </c>
    </row>
    <row r="794" spans="1:1" x14ac:dyDescent="0.25">
      <c r="A794">
        <v>998</v>
      </c>
    </row>
    <row r="795" spans="1:1" x14ac:dyDescent="0.25">
      <c r="A795">
        <v>999</v>
      </c>
    </row>
    <row r="796" spans="1:1" x14ac:dyDescent="0.25">
      <c r="A796">
        <v>1000</v>
      </c>
    </row>
  </sheetData>
  <phoneticPr fontId="9"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C5A78A-9C6A-4B0A-859F-6DB1D2335E17}">
  <sheetPr codeName="Sheet1"/>
  <dimension ref="A2:I48"/>
  <sheetViews>
    <sheetView view="pageBreakPreview" zoomScale="130" zoomScaleNormal="100" zoomScaleSheetLayoutView="130" zoomScalePageLayoutView="90" workbookViewId="0">
      <selection activeCell="E8" sqref="E8"/>
    </sheetView>
  </sheetViews>
  <sheetFormatPr baseColWidth="10" defaultColWidth="11.42578125" defaultRowHeight="15" x14ac:dyDescent="0.25"/>
  <cols>
    <col min="1" max="1" width="1.5703125" style="127" customWidth="1"/>
    <col min="2" max="2" width="3.5703125" customWidth="1"/>
    <col min="3" max="3" width="6.28515625" customWidth="1"/>
    <col min="4" max="4" width="7" customWidth="1"/>
    <col min="5" max="5" width="14" customWidth="1"/>
    <col min="6" max="6" width="8" customWidth="1"/>
    <col min="8" max="8" width="18.7109375" customWidth="1"/>
    <col min="9" max="9" width="14.85546875" customWidth="1"/>
    <col min="10" max="10" width="3.140625" customWidth="1"/>
  </cols>
  <sheetData>
    <row r="2" spans="1:9" s="9" customFormat="1" ht="7.5" customHeight="1" x14ac:dyDescent="0.2">
      <c r="B2" s="135"/>
      <c r="C2" s="136"/>
      <c r="D2" s="136"/>
      <c r="E2" s="137"/>
      <c r="F2" s="136"/>
      <c r="G2" s="136"/>
      <c r="H2" s="136"/>
      <c r="I2" s="138"/>
    </row>
    <row r="3" spans="1:9" s="9" customFormat="1" ht="6.75" customHeight="1" x14ac:dyDescent="0.2">
      <c r="B3" s="139"/>
      <c r="C3" s="140"/>
      <c r="D3" s="140"/>
      <c r="E3" s="141"/>
      <c r="F3" s="233" t="s">
        <v>212</v>
      </c>
      <c r="G3" s="233"/>
      <c r="H3" s="233"/>
      <c r="I3" s="234"/>
    </row>
    <row r="4" spans="1:9" s="9" customFormat="1" ht="6.75" customHeight="1" x14ac:dyDescent="0.2">
      <c r="B4" s="139"/>
      <c r="C4" s="140"/>
      <c r="D4" s="140"/>
      <c r="E4" s="141"/>
      <c r="F4" s="233"/>
      <c r="G4" s="233"/>
      <c r="H4" s="233"/>
      <c r="I4" s="234"/>
    </row>
    <row r="5" spans="1:9" s="7" customFormat="1" ht="13.5" customHeight="1" x14ac:dyDescent="0.2">
      <c r="A5" s="9"/>
      <c r="B5" s="142"/>
      <c r="C5" s="143"/>
      <c r="D5" s="143"/>
      <c r="E5" s="143"/>
      <c r="F5" s="143"/>
      <c r="G5" s="143"/>
      <c r="H5" s="143"/>
      <c r="I5" s="144"/>
    </row>
    <row r="6" spans="1:9" s="7" customFormat="1" ht="14.25" customHeight="1" x14ac:dyDescent="0.2">
      <c r="A6" s="9"/>
      <c r="B6" s="235" t="s">
        <v>299</v>
      </c>
      <c r="C6" s="236"/>
      <c r="D6" s="236"/>
      <c r="E6" s="236"/>
      <c r="F6" s="236"/>
      <c r="G6" s="236"/>
      <c r="H6" s="236"/>
      <c r="I6" s="237"/>
    </row>
    <row r="7" spans="1:9" s="7" customFormat="1" ht="4.5" customHeight="1" x14ac:dyDescent="0.2">
      <c r="A7" s="9"/>
      <c r="B7" s="145"/>
      <c r="C7" s="146"/>
      <c r="D7" s="146"/>
      <c r="E7" s="146"/>
      <c r="F7" s="146"/>
      <c r="G7" s="238">
        <f>IF(E8="","",VLOOKUP(E8,TCLIENTES2[],8,FALSE))</f>
        <v>46032</v>
      </c>
      <c r="H7" s="238"/>
      <c r="I7" s="147"/>
    </row>
    <row r="8" spans="1:9" s="7" customFormat="1" ht="12.75" customHeight="1" x14ac:dyDescent="0.2">
      <c r="A8" s="9"/>
      <c r="B8" s="145"/>
      <c r="C8" s="242" t="s">
        <v>303</v>
      </c>
      <c r="D8" s="242"/>
      <c r="E8" s="148" t="s">
        <v>432</v>
      </c>
      <c r="F8" s="146"/>
      <c r="G8" s="238"/>
      <c r="H8" s="238"/>
      <c r="I8" s="147"/>
    </row>
    <row r="9" spans="1:9" s="7" customFormat="1" ht="12.75" customHeight="1" x14ac:dyDescent="0.2">
      <c r="A9" s="9"/>
      <c r="B9" s="145"/>
      <c r="C9" s="242" t="s">
        <v>304</v>
      </c>
      <c r="D9" s="242"/>
      <c r="E9" s="146" t="str">
        <f>IF(E8="","",VLOOKUP(E8,TCLIENTES2[],2,FALSE))</f>
        <v>Joann Gonzales</v>
      </c>
      <c r="F9" s="146"/>
      <c r="G9" s="146"/>
      <c r="H9" s="149" t="s">
        <v>302</v>
      </c>
      <c r="I9" s="147"/>
    </row>
    <row r="10" spans="1:9" s="7" customFormat="1" ht="12" customHeight="1" x14ac:dyDescent="0.2">
      <c r="A10" s="9"/>
      <c r="B10" s="145"/>
      <c r="C10" s="242" t="s">
        <v>305</v>
      </c>
      <c r="D10" s="242"/>
      <c r="E10" s="146" t="str">
        <f>IF(E8="","",VLOOKUP(E8,TCLIENTES2[],3,FALSE))</f>
        <v>4702 Old Brownsville Rd Apt 1201 Corpus Christi, TX, 78405</v>
      </c>
      <c r="F10" s="146"/>
      <c r="G10" s="146"/>
      <c r="H10" s="150">
        <v>3456</v>
      </c>
      <c r="I10" s="147"/>
    </row>
    <row r="11" spans="1:9" s="7" customFormat="1" ht="11.25" customHeight="1" x14ac:dyDescent="0.2">
      <c r="A11" s="9"/>
      <c r="B11" s="145"/>
      <c r="C11" s="242" t="s">
        <v>306</v>
      </c>
      <c r="D11" s="242"/>
      <c r="E11" s="239">
        <f>IF(E8="","",VLOOKUP(E8,TCLIENTES2[],8,FALSE))</f>
        <v>46032</v>
      </c>
      <c r="F11" s="239"/>
      <c r="G11" s="151" t="s">
        <v>307</v>
      </c>
      <c r="H11" s="152">
        <f>E11</f>
        <v>46032</v>
      </c>
      <c r="I11" s="147"/>
    </row>
    <row r="12" spans="1:9" s="7" customFormat="1" ht="9.75" customHeight="1" x14ac:dyDescent="0.2">
      <c r="A12" s="9"/>
      <c r="B12" s="145"/>
      <c r="C12" s="242" t="s">
        <v>308</v>
      </c>
      <c r="D12" s="242"/>
      <c r="E12" s="148" t="str">
        <f>IF(E8="","",VLOOKUP(E8,TCLIENTES2[],5,FALSE))</f>
        <v>joanngonzales7474@gmail.com</v>
      </c>
      <c r="F12" s="153"/>
      <c r="G12" s="240" t="s">
        <v>34</v>
      </c>
      <c r="H12" s="240"/>
      <c r="I12" s="147"/>
    </row>
    <row r="13" spans="1:9" s="7" customFormat="1" ht="12" customHeight="1" x14ac:dyDescent="0.2">
      <c r="A13" s="9"/>
      <c r="B13" s="145"/>
      <c r="C13" s="242" t="s">
        <v>309</v>
      </c>
      <c r="D13" s="242"/>
      <c r="E13" s="154">
        <f>IF(E8="","",VLOOKUP(E8,TCLIENTES2[],4,FALSE))</f>
        <v>3612859098</v>
      </c>
      <c r="F13" s="155"/>
      <c r="G13" s="261" t="str">
        <f>IF(E8="","",VLOOKUP(E8,TCLIENTES2[],6,FALSE))</f>
        <v>TARIFA FIJA</v>
      </c>
      <c r="H13" s="261"/>
      <c r="I13" s="147"/>
    </row>
    <row r="14" spans="1:9" s="7" customFormat="1" ht="6" customHeight="1" x14ac:dyDescent="0.2">
      <c r="A14" s="9"/>
      <c r="B14" s="252"/>
      <c r="C14" s="253"/>
      <c r="D14" s="253"/>
      <c r="E14" s="253"/>
      <c r="F14" s="253"/>
      <c r="G14" s="253"/>
      <c r="H14" s="253"/>
      <c r="I14" s="254"/>
    </row>
    <row r="15" spans="1:9" s="7" customFormat="1" ht="6" customHeight="1" x14ac:dyDescent="0.2">
      <c r="A15" s="9"/>
      <c r="B15" s="255"/>
      <c r="C15" s="256"/>
      <c r="D15" s="256"/>
      <c r="E15" s="256"/>
      <c r="F15" s="256"/>
      <c r="G15" s="256"/>
      <c r="H15" s="256"/>
      <c r="I15" s="257"/>
    </row>
    <row r="16" spans="1:9" s="7" customFormat="1" ht="11.25" x14ac:dyDescent="0.2">
      <c r="A16" s="9"/>
      <c r="B16" s="255"/>
      <c r="C16" s="256"/>
      <c r="D16" s="256"/>
      <c r="E16" s="256"/>
      <c r="F16" s="256"/>
      <c r="G16" s="256"/>
      <c r="H16" s="256"/>
      <c r="I16" s="257"/>
    </row>
    <row r="17" spans="2:9" ht="15" customHeight="1" x14ac:dyDescent="0.25">
      <c r="B17" s="255"/>
      <c r="C17" s="256"/>
      <c r="D17" s="256"/>
      <c r="E17" s="256"/>
      <c r="F17" s="256"/>
      <c r="G17" s="256"/>
      <c r="H17" s="256"/>
      <c r="I17" s="257"/>
    </row>
    <row r="18" spans="2:9" x14ac:dyDescent="0.25">
      <c r="B18" s="255"/>
      <c r="C18" s="256"/>
      <c r="D18" s="256"/>
      <c r="E18" s="256"/>
      <c r="F18" s="256"/>
      <c r="G18" s="256"/>
      <c r="H18" s="256"/>
      <c r="I18" s="257"/>
    </row>
    <row r="19" spans="2:9" ht="12.75" customHeight="1" x14ac:dyDescent="0.25">
      <c r="B19" s="255"/>
      <c r="C19" s="256"/>
      <c r="D19" s="256"/>
      <c r="E19" s="256"/>
      <c r="F19" s="256"/>
      <c r="G19" s="256"/>
      <c r="H19" s="256"/>
      <c r="I19" s="257"/>
    </row>
    <row r="20" spans="2:9" ht="7.5" customHeight="1" x14ac:dyDescent="0.25">
      <c r="B20" s="255"/>
      <c r="C20" s="256"/>
      <c r="D20" s="256"/>
      <c r="E20" s="256"/>
      <c r="F20" s="256"/>
      <c r="G20" s="256"/>
      <c r="H20" s="256"/>
      <c r="I20" s="257"/>
    </row>
    <row r="21" spans="2:9" ht="11.25" customHeight="1" x14ac:dyDescent="0.25">
      <c r="B21" s="255"/>
      <c r="C21" s="256"/>
      <c r="D21" s="256"/>
      <c r="E21" s="256"/>
      <c r="F21" s="256"/>
      <c r="G21" s="256"/>
      <c r="H21" s="256"/>
      <c r="I21" s="257"/>
    </row>
    <row r="22" spans="2:9" ht="15" customHeight="1" x14ac:dyDescent="0.25">
      <c r="B22" s="255"/>
      <c r="C22" s="256"/>
      <c r="D22" s="256"/>
      <c r="E22" s="256"/>
      <c r="F22" s="256"/>
      <c r="G22" s="256"/>
      <c r="H22" s="256"/>
      <c r="I22" s="257"/>
    </row>
    <row r="23" spans="2:9" x14ac:dyDescent="0.25">
      <c r="B23" s="255"/>
      <c r="C23" s="256"/>
      <c r="D23" s="256"/>
      <c r="E23" s="256"/>
      <c r="F23" s="256"/>
      <c r="G23" s="256"/>
      <c r="H23" s="256"/>
      <c r="I23" s="257"/>
    </row>
    <row r="24" spans="2:9" x14ac:dyDescent="0.25">
      <c r="B24" s="255"/>
      <c r="C24" s="256"/>
      <c r="D24" s="256"/>
      <c r="E24" s="256"/>
      <c r="F24" s="256"/>
      <c r="G24" s="256"/>
      <c r="H24" s="256"/>
      <c r="I24" s="257"/>
    </row>
    <row r="25" spans="2:9" x14ac:dyDescent="0.25">
      <c r="B25" s="255"/>
      <c r="C25" s="256"/>
      <c r="D25" s="256"/>
      <c r="E25" s="256"/>
      <c r="F25" s="256"/>
      <c r="G25" s="256"/>
      <c r="H25" s="256"/>
      <c r="I25" s="257"/>
    </row>
    <row r="26" spans="2:9" x14ac:dyDescent="0.25">
      <c r="B26" s="255"/>
      <c r="C26" s="256"/>
      <c r="D26" s="256"/>
      <c r="E26" s="256"/>
      <c r="F26" s="256"/>
      <c r="G26" s="256"/>
      <c r="H26" s="256"/>
      <c r="I26" s="257"/>
    </row>
    <row r="27" spans="2:9" x14ac:dyDescent="0.25">
      <c r="B27" s="255"/>
      <c r="C27" s="256"/>
      <c r="D27" s="256"/>
      <c r="E27" s="256"/>
      <c r="F27" s="256"/>
      <c r="G27" s="256"/>
      <c r="H27" s="256"/>
      <c r="I27" s="257"/>
    </row>
    <row r="28" spans="2:9" x14ac:dyDescent="0.25">
      <c r="B28" s="255"/>
      <c r="C28" s="256"/>
      <c r="D28" s="256"/>
      <c r="E28" s="256"/>
      <c r="F28" s="256"/>
      <c r="G28" s="256"/>
      <c r="H28" s="256"/>
      <c r="I28" s="257"/>
    </row>
    <row r="29" spans="2:9" x14ac:dyDescent="0.25">
      <c r="B29" s="255"/>
      <c r="C29" s="256"/>
      <c r="D29" s="256"/>
      <c r="E29" s="256"/>
      <c r="F29" s="256"/>
      <c r="G29" s="256"/>
      <c r="H29" s="256"/>
      <c r="I29" s="257"/>
    </row>
    <row r="30" spans="2:9" ht="20.25" customHeight="1" x14ac:dyDescent="0.25">
      <c r="B30" s="255"/>
      <c r="C30" s="256"/>
      <c r="D30" s="256"/>
      <c r="E30" s="256"/>
      <c r="F30" s="256"/>
      <c r="G30" s="256"/>
      <c r="H30" s="256"/>
      <c r="I30" s="257"/>
    </row>
    <row r="31" spans="2:9" x14ac:dyDescent="0.25">
      <c r="B31" s="255"/>
      <c r="C31" s="256"/>
      <c r="D31" s="256"/>
      <c r="E31" s="256"/>
      <c r="F31" s="256"/>
      <c r="G31" s="256"/>
      <c r="H31" s="256"/>
      <c r="I31" s="257"/>
    </row>
    <row r="32" spans="2:9" x14ac:dyDescent="0.25">
      <c r="B32" s="255"/>
      <c r="C32" s="256"/>
      <c r="D32" s="256"/>
      <c r="E32" s="256"/>
      <c r="F32" s="256"/>
      <c r="G32" s="256"/>
      <c r="H32" s="256"/>
      <c r="I32" s="257"/>
    </row>
    <row r="33" spans="2:9" x14ac:dyDescent="0.25">
      <c r="B33" s="255"/>
      <c r="C33" s="256"/>
      <c r="D33" s="256"/>
      <c r="E33" s="256"/>
      <c r="F33" s="256"/>
      <c r="G33" s="256"/>
      <c r="H33" s="256"/>
      <c r="I33" s="257"/>
    </row>
    <row r="34" spans="2:9" x14ac:dyDescent="0.25">
      <c r="B34" s="255"/>
      <c r="C34" s="256"/>
      <c r="D34" s="256"/>
      <c r="E34" s="256"/>
      <c r="F34" s="256"/>
      <c r="G34" s="256"/>
      <c r="H34" s="256"/>
      <c r="I34" s="257"/>
    </row>
    <row r="35" spans="2:9" x14ac:dyDescent="0.25">
      <c r="B35" s="255"/>
      <c r="C35" s="256"/>
      <c r="D35" s="256"/>
      <c r="E35" s="256"/>
      <c r="F35" s="256"/>
      <c r="G35" s="256"/>
      <c r="H35" s="256"/>
      <c r="I35" s="257"/>
    </row>
    <row r="36" spans="2:9" ht="15" customHeight="1" x14ac:dyDescent="0.25">
      <c r="B36" s="255"/>
      <c r="C36" s="256"/>
      <c r="D36" s="256"/>
      <c r="E36" s="256"/>
      <c r="F36" s="256"/>
      <c r="G36" s="256"/>
      <c r="H36" s="256"/>
      <c r="I36" s="257"/>
    </row>
    <row r="37" spans="2:9" x14ac:dyDescent="0.25">
      <c r="B37" s="255"/>
      <c r="C37" s="256"/>
      <c r="D37" s="256"/>
      <c r="E37" s="256"/>
      <c r="F37" s="256"/>
      <c r="G37" s="256"/>
      <c r="H37" s="256"/>
      <c r="I37" s="257"/>
    </row>
    <row r="38" spans="2:9" x14ac:dyDescent="0.25">
      <c r="B38" s="255"/>
      <c r="C38" s="256"/>
      <c r="D38" s="256"/>
      <c r="E38" s="256"/>
      <c r="F38" s="256"/>
      <c r="G38" s="256"/>
      <c r="H38" s="256"/>
      <c r="I38" s="257"/>
    </row>
    <row r="39" spans="2:9" x14ac:dyDescent="0.25">
      <c r="B39" s="258"/>
      <c r="C39" s="259"/>
      <c r="D39" s="259"/>
      <c r="E39" s="259"/>
      <c r="F39" s="259"/>
      <c r="G39" s="259"/>
      <c r="H39" s="259"/>
      <c r="I39" s="260"/>
    </row>
    <row r="40" spans="2:9" x14ac:dyDescent="0.25">
      <c r="B40" s="243" t="s">
        <v>310</v>
      </c>
      <c r="C40" s="244"/>
      <c r="D40" s="244"/>
      <c r="E40" s="244"/>
      <c r="F40" s="244"/>
      <c r="G40" s="244"/>
      <c r="H40" s="244"/>
      <c r="I40" s="245"/>
    </row>
    <row r="41" spans="2:9" x14ac:dyDescent="0.25">
      <c r="B41" s="246"/>
      <c r="C41" s="247"/>
      <c r="D41" s="247"/>
      <c r="E41" s="247"/>
      <c r="F41" s="247"/>
      <c r="G41" s="247"/>
      <c r="H41" s="247"/>
      <c r="I41" s="248"/>
    </row>
    <row r="42" spans="2:9" ht="15.75" thickBot="1" x14ac:dyDescent="0.3">
      <c r="B42" s="249"/>
      <c r="C42" s="250"/>
      <c r="D42" s="250"/>
      <c r="E42" s="250"/>
      <c r="F42" s="250"/>
      <c r="G42" s="250"/>
      <c r="H42" s="250"/>
      <c r="I42" s="251"/>
    </row>
    <row r="43" spans="2:9" ht="6.75" customHeight="1" x14ac:dyDescent="0.25">
      <c r="B43" s="156"/>
      <c r="C43" s="133"/>
      <c r="D43" s="133"/>
      <c r="E43" s="133"/>
      <c r="F43" s="133"/>
      <c r="G43" s="133"/>
      <c r="H43" s="133"/>
      <c r="I43" s="157"/>
    </row>
    <row r="44" spans="2:9" x14ac:dyDescent="0.25">
      <c r="B44" s="156"/>
      <c r="C44" s="268" t="s">
        <v>301</v>
      </c>
      <c r="D44" s="268"/>
      <c r="E44" s="268"/>
      <c r="F44" s="133"/>
      <c r="G44" s="266" t="s">
        <v>300</v>
      </c>
      <c r="H44" s="266"/>
      <c r="I44" s="158"/>
    </row>
    <row r="45" spans="2:9" x14ac:dyDescent="0.25">
      <c r="B45" s="156"/>
      <c r="C45" s="267"/>
      <c r="D45" s="267"/>
      <c r="E45" s="267"/>
      <c r="F45" s="133"/>
      <c r="G45" s="131"/>
      <c r="H45" s="131"/>
      <c r="I45" s="157"/>
    </row>
    <row r="46" spans="2:9" x14ac:dyDescent="0.25">
      <c r="B46" s="156"/>
      <c r="C46" s="262" t="s">
        <v>70</v>
      </c>
      <c r="D46" s="262"/>
      <c r="E46" s="262"/>
      <c r="F46" s="133"/>
      <c r="G46" s="133"/>
      <c r="H46" s="133"/>
      <c r="I46" s="157"/>
    </row>
    <row r="47" spans="2:9" x14ac:dyDescent="0.25">
      <c r="B47" s="263"/>
      <c r="C47" s="264"/>
      <c r="D47" s="264"/>
      <c r="E47" s="264"/>
      <c r="F47" s="264"/>
      <c r="G47" s="264"/>
      <c r="H47" s="264"/>
      <c r="I47" s="265"/>
    </row>
    <row r="48" spans="2:9" ht="30.75" customHeight="1" x14ac:dyDescent="0.25">
      <c r="B48" s="241"/>
      <c r="C48" s="241"/>
      <c r="D48" s="241"/>
      <c r="E48" s="241"/>
      <c r="F48" s="241"/>
      <c r="G48" s="166" t="s">
        <v>289</v>
      </c>
      <c r="H48" s="165"/>
      <c r="I48" s="165"/>
    </row>
  </sheetData>
  <mergeCells count="20">
    <mergeCell ref="B48:F48"/>
    <mergeCell ref="C13:D13"/>
    <mergeCell ref="C8:D8"/>
    <mergeCell ref="C9:D9"/>
    <mergeCell ref="C10:D10"/>
    <mergeCell ref="C11:D11"/>
    <mergeCell ref="C12:D12"/>
    <mergeCell ref="B40:I42"/>
    <mergeCell ref="B14:I39"/>
    <mergeCell ref="G13:H13"/>
    <mergeCell ref="C46:E46"/>
    <mergeCell ref="B47:I47"/>
    <mergeCell ref="G44:H44"/>
    <mergeCell ref="C45:E45"/>
    <mergeCell ref="C44:E44"/>
    <mergeCell ref="F3:I4"/>
    <mergeCell ref="B6:I6"/>
    <mergeCell ref="G7:H8"/>
    <mergeCell ref="E11:F11"/>
    <mergeCell ref="G12:H12"/>
  </mergeCells>
  <hyperlinks>
    <hyperlink ref="G48" r:id="rId1" xr:uid="{AB74C4EB-3F9A-419B-9C97-CDCA29347942}"/>
  </hyperlinks>
  <pageMargins left="0.7" right="0.7" top="0.75" bottom="0.75" header="0.3" footer="0.3"/>
  <pageSetup orientation="portrait" horizontalDpi="1200" verticalDpi="1200" r:id="rId2"/>
  <headerFooter>
    <oddHeader>&amp;LELECTRICITY REGULAR CONNECTION</oddHeader>
    <oddFooter>&amp;CSYNERGY LIGHT
 AGENTE DE SERVICIO</oddFooter>
  </headerFooter>
  <drawing r:id="rId3"/>
  <extLst>
    <ext xmlns:x14="http://schemas.microsoft.com/office/spreadsheetml/2009/9/main" uri="{CCE6A557-97BC-4b89-ADB6-D9C93CAAB3DF}">
      <x14:dataValidations xmlns:xm="http://schemas.microsoft.com/office/excel/2006/main" count="1">
        <x14:dataValidation type="list" allowBlank="1" showInputMessage="1" showErrorMessage="1" xr:uid="{283F21D9-9234-476F-BF60-D1379EFDA560}">
          <x14:formula1>
            <xm:f>'BASE DE DATOS'!$B:$B</xm:f>
          </x14:formula1>
          <xm:sqref>E8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AFE09D-2169-4B2A-A77F-FD0A0FEBA967}">
  <sheetPr codeName="Hoja9"/>
  <dimension ref="A2:J42"/>
  <sheetViews>
    <sheetView view="pageLayout" zoomScale="130" zoomScaleNormal="100" zoomScalePageLayoutView="130" workbookViewId="0">
      <selection activeCell="E8" sqref="E8"/>
    </sheetView>
  </sheetViews>
  <sheetFormatPr baseColWidth="10" defaultColWidth="11.42578125" defaultRowHeight="15" x14ac:dyDescent="0.25"/>
  <cols>
    <col min="1" max="1" width="1.5703125" style="127" customWidth="1"/>
    <col min="2" max="2" width="3.5703125" customWidth="1"/>
    <col min="3" max="3" width="6.28515625" customWidth="1"/>
    <col min="4" max="4" width="7" customWidth="1"/>
    <col min="5" max="5" width="13.85546875" customWidth="1"/>
    <col min="6" max="6" width="7" customWidth="1"/>
    <col min="7" max="7" width="17.28515625" customWidth="1"/>
    <col min="8" max="8" width="18.7109375" customWidth="1"/>
    <col min="9" max="9" width="14.85546875" customWidth="1"/>
    <col min="10" max="10" width="3.140625" customWidth="1"/>
    <col min="14" max="14" width="3.28515625" customWidth="1"/>
    <col min="15" max="15" width="8" customWidth="1"/>
    <col min="16" max="16" width="41" customWidth="1"/>
  </cols>
  <sheetData>
    <row r="2" spans="1:9" s="9" customFormat="1" ht="7.5" customHeight="1" x14ac:dyDescent="0.2">
      <c r="B2" s="135"/>
      <c r="C2" s="136"/>
      <c r="D2" s="136"/>
      <c r="E2" s="137"/>
      <c r="F2" s="136"/>
      <c r="G2" s="136"/>
      <c r="H2" s="136"/>
      <c r="I2" s="138"/>
    </row>
    <row r="3" spans="1:9" s="9" customFormat="1" ht="6.75" customHeight="1" x14ac:dyDescent="0.2">
      <c r="B3" s="139"/>
      <c r="C3" s="140"/>
      <c r="D3" s="140"/>
      <c r="E3" s="141"/>
      <c r="F3" s="233" t="s">
        <v>212</v>
      </c>
      <c r="G3" s="233"/>
      <c r="H3" s="233"/>
      <c r="I3" s="234"/>
    </row>
    <row r="4" spans="1:9" s="9" customFormat="1" ht="6.75" customHeight="1" x14ac:dyDescent="0.2">
      <c r="B4" s="139"/>
      <c r="C4" s="140"/>
      <c r="D4" s="140"/>
      <c r="E4" s="141"/>
      <c r="F4" s="233"/>
      <c r="G4" s="233"/>
      <c r="H4" s="233"/>
      <c r="I4" s="234"/>
    </row>
    <row r="5" spans="1:9" s="7" customFormat="1" ht="13.5" customHeight="1" x14ac:dyDescent="0.2">
      <c r="A5" s="9"/>
      <c r="B5" s="142"/>
      <c r="C5" s="143"/>
      <c r="D5" s="143"/>
      <c r="E5" s="143"/>
      <c r="F5" s="143"/>
      <c r="G5" s="143"/>
      <c r="H5" s="143"/>
      <c r="I5" s="144"/>
    </row>
    <row r="6" spans="1:9" s="7" customFormat="1" ht="14.25" customHeight="1" x14ac:dyDescent="0.2">
      <c r="A6" s="9"/>
      <c r="B6" s="235" t="s">
        <v>299</v>
      </c>
      <c r="C6" s="236"/>
      <c r="D6" s="236"/>
      <c r="E6" s="236"/>
      <c r="F6" s="236"/>
      <c r="G6" s="236"/>
      <c r="H6" s="236"/>
      <c r="I6" s="237"/>
    </row>
    <row r="7" spans="1:9" s="7" customFormat="1" ht="4.5" customHeight="1" x14ac:dyDescent="0.2">
      <c r="A7" s="9"/>
      <c r="B7" s="145"/>
      <c r="C7" s="146"/>
      <c r="D7" s="146"/>
      <c r="E7" s="146"/>
      <c r="F7" s="146"/>
      <c r="G7" s="238">
        <f>IF(E8="","",VLOOKUP(E8,TCLIENTES2[],8,FALSE))</f>
        <v>46192</v>
      </c>
      <c r="H7" s="238"/>
      <c r="I7" s="147"/>
    </row>
    <row r="8" spans="1:9" s="7" customFormat="1" ht="12.75" customHeight="1" x14ac:dyDescent="0.2">
      <c r="A8" s="9"/>
      <c r="B8" s="145"/>
      <c r="C8" s="242" t="s">
        <v>303</v>
      </c>
      <c r="D8" s="242"/>
      <c r="E8" s="148" t="s">
        <v>441</v>
      </c>
      <c r="F8" s="146"/>
      <c r="G8" s="238"/>
      <c r="H8" s="238"/>
      <c r="I8" s="147"/>
    </row>
    <row r="9" spans="1:9" s="7" customFormat="1" ht="12.75" customHeight="1" x14ac:dyDescent="0.2">
      <c r="A9" s="9"/>
      <c r="B9" s="145"/>
      <c r="C9" s="242" t="s">
        <v>304</v>
      </c>
      <c r="D9" s="242"/>
      <c r="E9" s="146" t="str">
        <f>IF(E8="","",VLOOKUP(E8,TCLIENTES2[],2,FALSE))</f>
        <v>Cassandra De La Garza</v>
      </c>
      <c r="F9" s="146"/>
      <c r="G9" s="146"/>
      <c r="H9" s="168" t="s">
        <v>302</v>
      </c>
      <c r="I9" s="147"/>
    </row>
    <row r="10" spans="1:9" s="7" customFormat="1" ht="12" customHeight="1" x14ac:dyDescent="0.2">
      <c r="A10" s="9"/>
      <c r="B10" s="145"/>
      <c r="C10" s="242" t="s">
        <v>305</v>
      </c>
      <c r="D10" s="242"/>
      <c r="E10" s="146" t="str">
        <f>IF(E8="","",VLOOKUP(E8,TCLIENTES2[],3,FALSE))</f>
        <v>Address: 1754 Calle Rancho Gr,San Benito Tx 78586</v>
      </c>
      <c r="F10" s="146"/>
      <c r="G10" s="146"/>
      <c r="H10" s="150">
        <v>3456</v>
      </c>
      <c r="I10" s="147"/>
    </row>
    <row r="11" spans="1:9" s="7" customFormat="1" ht="11.25" customHeight="1" x14ac:dyDescent="0.2">
      <c r="A11" s="9"/>
      <c r="B11" s="145"/>
      <c r="C11" s="242" t="s">
        <v>306</v>
      </c>
      <c r="D11" s="242"/>
      <c r="E11" s="239">
        <f>IF(E8="","",VLOOKUP(E8,TCLIENTES2[],8,FALSE))</f>
        <v>46192</v>
      </c>
      <c r="F11" s="239"/>
      <c r="G11" s="151" t="s">
        <v>307</v>
      </c>
      <c r="H11" s="152">
        <f>E11</f>
        <v>46192</v>
      </c>
      <c r="I11" s="147"/>
    </row>
    <row r="12" spans="1:9" s="7" customFormat="1" ht="9.75" customHeight="1" x14ac:dyDescent="0.2">
      <c r="A12" s="9"/>
      <c r="B12" s="145"/>
      <c r="C12" s="242" t="s">
        <v>308</v>
      </c>
      <c r="D12" s="242"/>
      <c r="E12" s="148" t="str">
        <f>IF(E8="","",VLOOKUP(E8,TCLIENTES2[],5,FALSE))</f>
        <v>Cassandrahernandez421@gmail.com</v>
      </c>
      <c r="F12" s="153"/>
      <c r="G12" s="240" t="s">
        <v>34</v>
      </c>
      <c r="H12" s="240"/>
      <c r="I12" s="147"/>
    </row>
    <row r="13" spans="1:9" s="7" customFormat="1" ht="12" customHeight="1" x14ac:dyDescent="0.2">
      <c r="A13" s="9"/>
      <c r="B13" s="145"/>
      <c r="C13" s="242" t="s">
        <v>309</v>
      </c>
      <c r="D13" s="242"/>
      <c r="E13" s="154">
        <f>IF(E8="","",VLOOKUP(E8,TCLIENTES2[],4,FALSE))</f>
        <v>9563153628</v>
      </c>
      <c r="F13" s="155"/>
      <c r="G13" s="261" t="str">
        <f>IF(E8="","",VLOOKUP(E8,TCLIENTES2[],6,FALSE))</f>
        <v>TARIFA KWH</v>
      </c>
      <c r="H13" s="261"/>
      <c r="I13" s="147"/>
    </row>
    <row r="14" spans="1:9" ht="15" customHeight="1" x14ac:dyDescent="0.25">
      <c r="B14" s="269" t="s">
        <v>326</v>
      </c>
      <c r="C14" s="270"/>
      <c r="D14" s="270"/>
      <c r="E14" s="270"/>
      <c r="F14" s="270"/>
      <c r="G14" s="270"/>
      <c r="H14" s="270"/>
      <c r="I14" s="271"/>
    </row>
    <row r="15" spans="1:9" x14ac:dyDescent="0.25">
      <c r="B15" s="273" t="s">
        <v>370</v>
      </c>
      <c r="C15" s="274"/>
      <c r="D15" s="274"/>
      <c r="E15" s="274"/>
      <c r="F15" s="274"/>
      <c r="G15" s="274"/>
      <c r="H15" s="274"/>
      <c r="I15" s="275"/>
    </row>
    <row r="16" spans="1:9" ht="12.75" customHeight="1" x14ac:dyDescent="0.25">
      <c r="B16" s="276"/>
      <c r="C16" s="277"/>
      <c r="D16" s="277"/>
      <c r="E16" s="277"/>
      <c r="F16" s="277"/>
      <c r="G16" s="277"/>
      <c r="H16" s="277"/>
      <c r="I16" s="278"/>
    </row>
    <row r="17" spans="2:10" ht="7.5" customHeight="1" x14ac:dyDescent="0.25">
      <c r="B17" s="276"/>
      <c r="C17" s="277"/>
      <c r="D17" s="277"/>
      <c r="E17" s="277"/>
      <c r="F17" s="277"/>
      <c r="G17" s="277"/>
      <c r="H17" s="277"/>
      <c r="I17" s="278"/>
    </row>
    <row r="18" spans="2:10" ht="11.25" customHeight="1" x14ac:dyDescent="0.25">
      <c r="B18" s="276"/>
      <c r="C18" s="277"/>
      <c r="D18" s="277"/>
      <c r="E18" s="277"/>
      <c r="F18" s="277"/>
      <c r="G18" s="277"/>
      <c r="H18" s="277"/>
      <c r="I18" s="278"/>
    </row>
    <row r="19" spans="2:10" ht="15" customHeight="1" x14ac:dyDescent="0.25">
      <c r="B19" s="276"/>
      <c r="C19" s="277"/>
      <c r="D19" s="277"/>
      <c r="E19" s="277"/>
      <c r="F19" s="277"/>
      <c r="G19" s="277"/>
      <c r="H19" s="277"/>
      <c r="I19" s="278"/>
    </row>
    <row r="20" spans="2:10" x14ac:dyDescent="0.25">
      <c r="B20" s="276"/>
      <c r="C20" s="277"/>
      <c r="D20" s="277"/>
      <c r="E20" s="277"/>
      <c r="F20" s="277"/>
      <c r="G20" s="277"/>
      <c r="H20" s="277"/>
      <c r="I20" s="278"/>
    </row>
    <row r="21" spans="2:10" x14ac:dyDescent="0.25">
      <c r="B21" s="276"/>
      <c r="C21" s="277"/>
      <c r="D21" s="277"/>
      <c r="E21" s="277"/>
      <c r="F21" s="277"/>
      <c r="G21" s="277"/>
      <c r="H21" s="277"/>
      <c r="I21" s="278"/>
    </row>
    <row r="22" spans="2:10" x14ac:dyDescent="0.25">
      <c r="B22" s="276"/>
      <c r="C22" s="277"/>
      <c r="D22" s="277"/>
      <c r="E22" s="277"/>
      <c r="F22" s="277"/>
      <c r="G22" s="277"/>
      <c r="H22" s="277"/>
      <c r="I22" s="278"/>
      <c r="J22" t="s">
        <v>62</v>
      </c>
    </row>
    <row r="23" spans="2:10" x14ac:dyDescent="0.25">
      <c r="B23" s="276"/>
      <c r="C23" s="277"/>
      <c r="D23" s="277"/>
      <c r="E23" s="277"/>
      <c r="F23" s="277"/>
      <c r="G23" s="277"/>
      <c r="H23" s="277"/>
      <c r="I23" s="278"/>
    </row>
    <row r="24" spans="2:10" ht="20.25" customHeight="1" x14ac:dyDescent="0.25">
      <c r="B24" s="276"/>
      <c r="C24" s="277"/>
      <c r="D24" s="277"/>
      <c r="E24" s="277"/>
      <c r="F24" s="277"/>
      <c r="G24" s="277"/>
      <c r="H24" s="277"/>
      <c r="I24" s="278"/>
    </row>
    <row r="25" spans="2:10" x14ac:dyDescent="0.25">
      <c r="B25" s="276"/>
      <c r="C25" s="277"/>
      <c r="D25" s="277"/>
      <c r="E25" s="277"/>
      <c r="F25" s="277"/>
      <c r="G25" s="277"/>
      <c r="H25" s="277"/>
      <c r="I25" s="278"/>
    </row>
    <row r="26" spans="2:10" ht="27" customHeight="1" x14ac:dyDescent="0.25">
      <c r="B26" s="276"/>
      <c r="C26" s="277"/>
      <c r="D26" s="277"/>
      <c r="E26" s="277"/>
      <c r="F26" s="277"/>
      <c r="G26" s="277"/>
      <c r="H26" s="277"/>
      <c r="I26" s="278"/>
    </row>
    <row r="27" spans="2:10" ht="20.25" customHeight="1" x14ac:dyDescent="0.25">
      <c r="B27" s="276"/>
      <c r="C27" s="277"/>
      <c r="D27" s="277"/>
      <c r="E27" s="277"/>
      <c r="F27" s="277"/>
      <c r="G27" s="277"/>
      <c r="H27" s="277"/>
      <c r="I27" s="278"/>
    </row>
    <row r="28" spans="2:10" x14ac:dyDescent="0.25">
      <c r="B28" s="276"/>
      <c r="C28" s="277"/>
      <c r="D28" s="277"/>
      <c r="E28" s="277"/>
      <c r="F28" s="277"/>
      <c r="G28" s="277"/>
      <c r="H28" s="277"/>
      <c r="I28" s="278"/>
    </row>
    <row r="29" spans="2:10" ht="34.5" customHeight="1" x14ac:dyDescent="0.25">
      <c r="B29" s="276"/>
      <c r="C29" s="277"/>
      <c r="D29" s="277"/>
      <c r="E29" s="277"/>
      <c r="F29" s="277"/>
      <c r="G29" s="277"/>
      <c r="H29" s="277"/>
      <c r="I29" s="278"/>
    </row>
    <row r="30" spans="2:10" x14ac:dyDescent="0.25">
      <c r="B30" s="276"/>
      <c r="C30" s="277"/>
      <c r="D30" s="277"/>
      <c r="E30" s="277"/>
      <c r="F30" s="277"/>
      <c r="G30" s="277"/>
      <c r="H30" s="277"/>
      <c r="I30" s="278"/>
    </row>
    <row r="31" spans="2:10" x14ac:dyDescent="0.25">
      <c r="B31" s="276"/>
      <c r="C31" s="277"/>
      <c r="D31" s="277"/>
      <c r="E31" s="277"/>
      <c r="F31" s="277"/>
      <c r="G31" s="277"/>
      <c r="H31" s="277"/>
      <c r="I31" s="278"/>
    </row>
    <row r="32" spans="2:10" ht="18" customHeight="1" x14ac:dyDescent="0.25">
      <c r="B32" s="276"/>
      <c r="C32" s="277"/>
      <c r="D32" s="277"/>
      <c r="E32" s="277"/>
      <c r="F32" s="277"/>
      <c r="G32" s="277"/>
      <c r="H32" s="277"/>
      <c r="I32" s="278"/>
    </row>
    <row r="33" spans="2:9" ht="24" customHeight="1" x14ac:dyDescent="0.25">
      <c r="B33" s="276"/>
      <c r="C33" s="277"/>
      <c r="D33" s="277"/>
      <c r="E33" s="277"/>
      <c r="F33" s="277"/>
      <c r="G33" s="277"/>
      <c r="H33" s="277"/>
      <c r="I33" s="278"/>
    </row>
    <row r="34" spans="2:9" ht="34.5" customHeight="1" x14ac:dyDescent="0.25">
      <c r="B34" s="276"/>
      <c r="C34" s="277"/>
      <c r="D34" s="277"/>
      <c r="E34" s="277"/>
      <c r="F34" s="277"/>
      <c r="G34" s="277"/>
      <c r="H34" s="277"/>
      <c r="I34" s="278"/>
    </row>
    <row r="35" spans="2:9" ht="33" customHeight="1" x14ac:dyDescent="0.25">
      <c r="B35" s="276"/>
      <c r="C35" s="277"/>
      <c r="D35" s="277"/>
      <c r="E35" s="277"/>
      <c r="F35" s="277"/>
      <c r="G35" s="277"/>
      <c r="H35" s="277"/>
      <c r="I35" s="278"/>
    </row>
    <row r="36" spans="2:9" ht="37.5" customHeight="1" x14ac:dyDescent="0.25">
      <c r="B36" s="279"/>
      <c r="C36" s="280"/>
      <c r="D36" s="280"/>
      <c r="E36" s="280"/>
      <c r="F36" s="280"/>
      <c r="G36" s="280"/>
      <c r="H36" s="280"/>
      <c r="I36" s="281"/>
    </row>
    <row r="37" spans="2:9" ht="12.75" customHeight="1" x14ac:dyDescent="0.25">
      <c r="B37" s="156"/>
      <c r="C37" s="133"/>
      <c r="D37" s="133"/>
      <c r="E37" s="133"/>
      <c r="F37" s="133"/>
      <c r="G37" s="133"/>
      <c r="H37" s="133"/>
      <c r="I37" s="157"/>
    </row>
    <row r="38" spans="2:9" x14ac:dyDescent="0.25">
      <c r="B38" s="156"/>
      <c r="C38" s="268" t="s">
        <v>301</v>
      </c>
      <c r="D38" s="268"/>
      <c r="E38" s="268"/>
      <c r="F38" s="133"/>
      <c r="G38" s="266" t="s">
        <v>300</v>
      </c>
      <c r="H38" s="266"/>
      <c r="I38" s="158"/>
    </row>
    <row r="39" spans="2:9" x14ac:dyDescent="0.25">
      <c r="B39" s="156"/>
      <c r="C39" s="267"/>
      <c r="D39" s="267"/>
      <c r="E39" s="267"/>
      <c r="F39" s="133"/>
      <c r="G39" s="131"/>
      <c r="H39" s="131"/>
      <c r="I39" s="157"/>
    </row>
    <row r="40" spans="2:9" x14ac:dyDescent="0.25">
      <c r="B40" s="156"/>
      <c r="C40" s="262" t="s">
        <v>70</v>
      </c>
      <c r="D40" s="262"/>
      <c r="E40" s="262"/>
      <c r="F40" s="133"/>
      <c r="G40" s="133"/>
      <c r="H40" s="133"/>
      <c r="I40" s="157"/>
    </row>
    <row r="41" spans="2:9" x14ac:dyDescent="0.25">
      <c r="B41" s="263"/>
      <c r="C41" s="264"/>
      <c r="D41" s="264"/>
      <c r="E41" s="264"/>
      <c r="F41" s="264"/>
      <c r="G41" s="264"/>
      <c r="H41" s="264"/>
      <c r="I41" s="265"/>
    </row>
    <row r="42" spans="2:9" ht="18.75" customHeight="1" x14ac:dyDescent="0.25">
      <c r="B42" s="272" t="s">
        <v>289</v>
      </c>
      <c r="C42" s="272"/>
      <c r="D42" s="272"/>
      <c r="E42" s="272"/>
      <c r="F42" s="272"/>
      <c r="G42" s="272"/>
      <c r="H42" s="272"/>
      <c r="I42" s="272"/>
    </row>
  </sheetData>
  <mergeCells count="20">
    <mergeCell ref="C10:D10"/>
    <mergeCell ref="F3:I4"/>
    <mergeCell ref="B6:I6"/>
    <mergeCell ref="G7:H8"/>
    <mergeCell ref="C8:D8"/>
    <mergeCell ref="C9:D9"/>
    <mergeCell ref="B14:I14"/>
    <mergeCell ref="B42:I42"/>
    <mergeCell ref="C11:D11"/>
    <mergeCell ref="E11:F11"/>
    <mergeCell ref="C12:D12"/>
    <mergeCell ref="G12:H12"/>
    <mergeCell ref="C13:D13"/>
    <mergeCell ref="G13:H13"/>
    <mergeCell ref="B41:I41"/>
    <mergeCell ref="B15:I36"/>
    <mergeCell ref="C38:E38"/>
    <mergeCell ref="G38:H38"/>
    <mergeCell ref="C39:E39"/>
    <mergeCell ref="C40:E40"/>
  </mergeCells>
  <hyperlinks>
    <hyperlink ref="B42" r:id="rId1" xr:uid="{576B8152-0EF6-4B52-9EB8-4C4FA7538F92}"/>
  </hyperlinks>
  <pageMargins left="0.7" right="0.7" top="0.75" bottom="0.75" header="0.3" footer="0.3"/>
  <pageSetup orientation="portrait" horizontalDpi="1200" verticalDpi="1200" r:id="rId2"/>
  <drawing r:id="rId3"/>
  <extLst>
    <ext xmlns:x14="http://schemas.microsoft.com/office/spreadsheetml/2009/9/main" uri="{CCE6A557-97BC-4b89-ADB6-D9C93CAAB3DF}">
      <x14:dataValidations xmlns:xm="http://schemas.microsoft.com/office/excel/2006/main" count="1">
        <x14:dataValidation type="list" allowBlank="1" showInputMessage="1" showErrorMessage="1" xr:uid="{520E35E1-660E-4FFC-AF9E-2A98FBA10AB7}">
          <x14:formula1>
            <xm:f>'BASE DE DATOS'!$B:$B</xm:f>
          </x14:formula1>
          <xm:sqref>E8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2:C25"/>
  <sheetViews>
    <sheetView workbookViewId="0">
      <selection activeCell="B13" sqref="B13"/>
    </sheetView>
  </sheetViews>
  <sheetFormatPr baseColWidth="10" defaultColWidth="11.42578125" defaultRowHeight="15" x14ac:dyDescent="0.25"/>
  <cols>
    <col min="1" max="1" width="20.28515625" style="1" customWidth="1"/>
    <col min="2" max="2" width="77.7109375" customWidth="1"/>
    <col min="3" max="3" width="25.7109375" style="2" customWidth="1"/>
  </cols>
  <sheetData>
    <row r="2" spans="1:3" x14ac:dyDescent="0.25">
      <c r="A2" s="1" t="s">
        <v>2</v>
      </c>
      <c r="B2" t="s">
        <v>3</v>
      </c>
      <c r="C2" s="2" t="s">
        <v>5</v>
      </c>
    </row>
    <row r="3" spans="1:3" x14ac:dyDescent="0.25">
      <c r="A3" s="1" t="s">
        <v>43</v>
      </c>
      <c r="B3" t="s">
        <v>347</v>
      </c>
      <c r="C3" s="11">
        <v>120</v>
      </c>
    </row>
    <row r="4" spans="1:3" x14ac:dyDescent="0.25">
      <c r="A4" s="1" t="s">
        <v>44</v>
      </c>
      <c r="B4" t="s">
        <v>422</v>
      </c>
      <c r="C4" s="11">
        <v>100</v>
      </c>
    </row>
    <row r="5" spans="1:3" x14ac:dyDescent="0.25">
      <c r="A5" s="1" t="s">
        <v>45</v>
      </c>
      <c r="B5" t="s">
        <v>28</v>
      </c>
      <c r="C5" s="11">
        <v>120</v>
      </c>
    </row>
    <row r="6" spans="1:3" x14ac:dyDescent="0.25">
      <c r="A6" s="1" t="s">
        <v>290</v>
      </c>
      <c r="B6" t="s">
        <v>291</v>
      </c>
      <c r="C6" s="11">
        <v>0</v>
      </c>
    </row>
    <row r="7" spans="1:3" x14ac:dyDescent="0.25">
      <c r="A7" s="1" t="s">
        <v>442</v>
      </c>
      <c r="B7" t="s">
        <v>437</v>
      </c>
      <c r="C7" s="11">
        <v>90</v>
      </c>
    </row>
    <row r="8" spans="1:3" x14ac:dyDescent="0.25">
      <c r="A8" s="1" t="s">
        <v>443</v>
      </c>
      <c r="B8" t="s">
        <v>437</v>
      </c>
      <c r="C8" s="11">
        <v>95</v>
      </c>
    </row>
    <row r="9" spans="1:3" x14ac:dyDescent="0.25">
      <c r="C9" s="11"/>
    </row>
    <row r="10" spans="1:3" x14ac:dyDescent="0.25">
      <c r="C10" s="11"/>
    </row>
    <row r="11" spans="1:3" x14ac:dyDescent="0.25">
      <c r="C11" s="11"/>
    </row>
    <row r="12" spans="1:3" x14ac:dyDescent="0.25">
      <c r="C12" s="11"/>
    </row>
    <row r="13" spans="1:3" x14ac:dyDescent="0.25">
      <c r="C13" s="11"/>
    </row>
    <row r="14" spans="1:3" x14ac:dyDescent="0.25">
      <c r="C14" s="11"/>
    </row>
    <row r="15" spans="1:3" x14ac:dyDescent="0.25">
      <c r="C15" s="11"/>
    </row>
    <row r="16" spans="1:3" x14ac:dyDescent="0.25">
      <c r="C16" s="11"/>
    </row>
    <row r="17" spans="3:3" x14ac:dyDescent="0.25">
      <c r="C17" s="11"/>
    </row>
    <row r="18" spans="3:3" x14ac:dyDescent="0.25">
      <c r="C18" s="11"/>
    </row>
    <row r="19" spans="3:3" x14ac:dyDescent="0.25">
      <c r="C19" s="11"/>
    </row>
    <row r="20" spans="3:3" x14ac:dyDescent="0.25">
      <c r="C20" s="11"/>
    </row>
    <row r="21" spans="3:3" x14ac:dyDescent="0.25">
      <c r="C21" s="11"/>
    </row>
    <row r="22" spans="3:3" x14ac:dyDescent="0.25">
      <c r="C22" s="11"/>
    </row>
    <row r="23" spans="3:3" x14ac:dyDescent="0.25">
      <c r="C23" s="11"/>
    </row>
    <row r="24" spans="3:3" x14ac:dyDescent="0.25">
      <c r="C24" s="11"/>
    </row>
    <row r="25" spans="3:3" x14ac:dyDescent="0.25">
      <c r="C25" s="11"/>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B019E2-DD36-4875-BAC7-50D94477436B}">
  <sheetPr codeName="Hoja5"/>
  <dimension ref="A1:A2126"/>
  <sheetViews>
    <sheetView workbookViewId="0">
      <selection activeCell="B5" sqref="B5"/>
    </sheetView>
  </sheetViews>
  <sheetFormatPr baseColWidth="10" defaultColWidth="11.42578125" defaultRowHeight="15" x14ac:dyDescent="0.25"/>
  <sheetData>
    <row r="1" spans="1:1" x14ac:dyDescent="0.25">
      <c r="A1" s="38">
        <v>1</v>
      </c>
    </row>
    <row r="2" spans="1:1" x14ac:dyDescent="0.25">
      <c r="A2" s="38">
        <v>2</v>
      </c>
    </row>
    <row r="3" spans="1:1" x14ac:dyDescent="0.25">
      <c r="A3" s="38">
        <v>3</v>
      </c>
    </row>
    <row r="4" spans="1:1" x14ac:dyDescent="0.25">
      <c r="A4" s="38">
        <v>4</v>
      </c>
    </row>
    <row r="5" spans="1:1" x14ac:dyDescent="0.25">
      <c r="A5" s="38">
        <v>5</v>
      </c>
    </row>
    <row r="6" spans="1:1" x14ac:dyDescent="0.25">
      <c r="A6" s="38">
        <v>6</v>
      </c>
    </row>
    <row r="7" spans="1:1" x14ac:dyDescent="0.25">
      <c r="A7" s="38">
        <v>7</v>
      </c>
    </row>
    <row r="8" spans="1:1" x14ac:dyDescent="0.25">
      <c r="A8" s="38">
        <v>8</v>
      </c>
    </row>
    <row r="9" spans="1:1" x14ac:dyDescent="0.25">
      <c r="A9" s="38">
        <v>9</v>
      </c>
    </row>
    <row r="10" spans="1:1" x14ac:dyDescent="0.25">
      <c r="A10" s="38">
        <v>10</v>
      </c>
    </row>
    <row r="11" spans="1:1" x14ac:dyDescent="0.25">
      <c r="A11" s="38">
        <v>11</v>
      </c>
    </row>
    <row r="12" spans="1:1" x14ac:dyDescent="0.25">
      <c r="A12" s="38">
        <v>12</v>
      </c>
    </row>
    <row r="13" spans="1:1" x14ac:dyDescent="0.25">
      <c r="A13" s="38">
        <v>13</v>
      </c>
    </row>
    <row r="14" spans="1:1" x14ac:dyDescent="0.25">
      <c r="A14" s="38">
        <v>14</v>
      </c>
    </row>
    <row r="15" spans="1:1" x14ac:dyDescent="0.25">
      <c r="A15" s="38">
        <v>15</v>
      </c>
    </row>
    <row r="16" spans="1:1" x14ac:dyDescent="0.25">
      <c r="A16" s="38">
        <v>16</v>
      </c>
    </row>
    <row r="17" spans="1:1" x14ac:dyDescent="0.25">
      <c r="A17" s="38">
        <v>17</v>
      </c>
    </row>
    <row r="18" spans="1:1" x14ac:dyDescent="0.25">
      <c r="A18" s="38">
        <v>18</v>
      </c>
    </row>
    <row r="19" spans="1:1" x14ac:dyDescent="0.25">
      <c r="A19" s="38">
        <v>19</v>
      </c>
    </row>
    <row r="20" spans="1:1" x14ac:dyDescent="0.25">
      <c r="A20" s="38">
        <v>20</v>
      </c>
    </row>
    <row r="21" spans="1:1" x14ac:dyDescent="0.25">
      <c r="A21" s="38">
        <v>21</v>
      </c>
    </row>
    <row r="22" spans="1:1" x14ac:dyDescent="0.25">
      <c r="A22" s="38">
        <v>22</v>
      </c>
    </row>
    <row r="23" spans="1:1" x14ac:dyDescent="0.25">
      <c r="A23" s="38">
        <v>23</v>
      </c>
    </row>
    <row r="24" spans="1:1" x14ac:dyDescent="0.25">
      <c r="A24" s="38">
        <v>24</v>
      </c>
    </row>
    <row r="25" spans="1:1" x14ac:dyDescent="0.25">
      <c r="A25" s="38">
        <v>25</v>
      </c>
    </row>
    <row r="26" spans="1:1" x14ac:dyDescent="0.25">
      <c r="A26" s="38">
        <v>26</v>
      </c>
    </row>
    <row r="27" spans="1:1" x14ac:dyDescent="0.25">
      <c r="A27" s="38">
        <v>27</v>
      </c>
    </row>
    <row r="28" spans="1:1" x14ac:dyDescent="0.25">
      <c r="A28" s="38">
        <v>28</v>
      </c>
    </row>
    <row r="29" spans="1:1" x14ac:dyDescent="0.25">
      <c r="A29" s="38">
        <v>29</v>
      </c>
    </row>
    <row r="30" spans="1:1" x14ac:dyDescent="0.25">
      <c r="A30" s="38">
        <v>30</v>
      </c>
    </row>
    <row r="31" spans="1:1" x14ac:dyDescent="0.25">
      <c r="A31" s="38">
        <v>31</v>
      </c>
    </row>
    <row r="32" spans="1:1" x14ac:dyDescent="0.25">
      <c r="A32" s="38">
        <v>32</v>
      </c>
    </row>
    <row r="33" spans="1:1" x14ac:dyDescent="0.25">
      <c r="A33" s="38">
        <v>33</v>
      </c>
    </row>
    <row r="34" spans="1:1" x14ac:dyDescent="0.25">
      <c r="A34" s="38">
        <v>34</v>
      </c>
    </row>
    <row r="35" spans="1:1" x14ac:dyDescent="0.25">
      <c r="A35" s="38">
        <v>35</v>
      </c>
    </row>
    <row r="36" spans="1:1" x14ac:dyDescent="0.25">
      <c r="A36" s="38">
        <v>36</v>
      </c>
    </row>
    <row r="37" spans="1:1" x14ac:dyDescent="0.25">
      <c r="A37" s="38">
        <v>37</v>
      </c>
    </row>
    <row r="38" spans="1:1" x14ac:dyDescent="0.25">
      <c r="A38" s="38">
        <v>38</v>
      </c>
    </row>
    <row r="39" spans="1:1" x14ac:dyDescent="0.25">
      <c r="A39" s="38">
        <v>39</v>
      </c>
    </row>
    <row r="40" spans="1:1" x14ac:dyDescent="0.25">
      <c r="A40" s="38">
        <v>40</v>
      </c>
    </row>
    <row r="41" spans="1:1" x14ac:dyDescent="0.25">
      <c r="A41" s="38">
        <v>41</v>
      </c>
    </row>
    <row r="42" spans="1:1" x14ac:dyDescent="0.25">
      <c r="A42" s="38">
        <v>42</v>
      </c>
    </row>
    <row r="43" spans="1:1" x14ac:dyDescent="0.25">
      <c r="A43" s="38">
        <v>43</v>
      </c>
    </row>
    <row r="44" spans="1:1" x14ac:dyDescent="0.25">
      <c r="A44" s="38">
        <v>44</v>
      </c>
    </row>
    <row r="45" spans="1:1" x14ac:dyDescent="0.25">
      <c r="A45" s="38">
        <v>45</v>
      </c>
    </row>
    <row r="46" spans="1:1" x14ac:dyDescent="0.25">
      <c r="A46" s="38">
        <v>46</v>
      </c>
    </row>
    <row r="47" spans="1:1" x14ac:dyDescent="0.25">
      <c r="A47" s="38">
        <v>47</v>
      </c>
    </row>
    <row r="48" spans="1:1" x14ac:dyDescent="0.25">
      <c r="A48" s="38">
        <v>48</v>
      </c>
    </row>
    <row r="49" spans="1:1" x14ac:dyDescent="0.25">
      <c r="A49" s="38">
        <v>49</v>
      </c>
    </row>
    <row r="50" spans="1:1" x14ac:dyDescent="0.25">
      <c r="A50" s="38">
        <v>50</v>
      </c>
    </row>
    <row r="51" spans="1:1" x14ac:dyDescent="0.25">
      <c r="A51" s="38">
        <v>51</v>
      </c>
    </row>
    <row r="52" spans="1:1" x14ac:dyDescent="0.25">
      <c r="A52" s="38">
        <v>52</v>
      </c>
    </row>
    <row r="53" spans="1:1" x14ac:dyDescent="0.25">
      <c r="A53" s="38">
        <v>53</v>
      </c>
    </row>
    <row r="54" spans="1:1" x14ac:dyDescent="0.25">
      <c r="A54" s="38">
        <v>54</v>
      </c>
    </row>
    <row r="55" spans="1:1" x14ac:dyDescent="0.25">
      <c r="A55" s="38">
        <v>55</v>
      </c>
    </row>
    <row r="56" spans="1:1" x14ac:dyDescent="0.25">
      <c r="A56" s="38">
        <v>56</v>
      </c>
    </row>
    <row r="57" spans="1:1" x14ac:dyDescent="0.25">
      <c r="A57" s="38">
        <v>57</v>
      </c>
    </row>
    <row r="58" spans="1:1" x14ac:dyDescent="0.25">
      <c r="A58" s="38">
        <v>58</v>
      </c>
    </row>
    <row r="59" spans="1:1" x14ac:dyDescent="0.25">
      <c r="A59" s="38">
        <v>59</v>
      </c>
    </row>
    <row r="60" spans="1:1" x14ac:dyDescent="0.25">
      <c r="A60" s="38">
        <v>60</v>
      </c>
    </row>
    <row r="61" spans="1:1" x14ac:dyDescent="0.25">
      <c r="A61" s="38">
        <v>61</v>
      </c>
    </row>
    <row r="62" spans="1:1" x14ac:dyDescent="0.25">
      <c r="A62" s="38">
        <v>62</v>
      </c>
    </row>
    <row r="63" spans="1:1" x14ac:dyDescent="0.25">
      <c r="A63" s="38">
        <v>63</v>
      </c>
    </row>
    <row r="64" spans="1:1" x14ac:dyDescent="0.25">
      <c r="A64" s="38">
        <v>64</v>
      </c>
    </row>
    <row r="65" spans="1:1" x14ac:dyDescent="0.25">
      <c r="A65" s="38">
        <v>65</v>
      </c>
    </row>
    <row r="66" spans="1:1" x14ac:dyDescent="0.25">
      <c r="A66" s="38">
        <v>66</v>
      </c>
    </row>
    <row r="67" spans="1:1" x14ac:dyDescent="0.25">
      <c r="A67" s="38">
        <v>67</v>
      </c>
    </row>
    <row r="68" spans="1:1" x14ac:dyDescent="0.25">
      <c r="A68" s="38">
        <v>68</v>
      </c>
    </row>
    <row r="69" spans="1:1" x14ac:dyDescent="0.25">
      <c r="A69" s="38">
        <v>69</v>
      </c>
    </row>
    <row r="70" spans="1:1" x14ac:dyDescent="0.25">
      <c r="A70" s="38">
        <v>70</v>
      </c>
    </row>
    <row r="71" spans="1:1" x14ac:dyDescent="0.25">
      <c r="A71" s="38">
        <v>71</v>
      </c>
    </row>
    <row r="72" spans="1:1" x14ac:dyDescent="0.25">
      <c r="A72" s="38">
        <v>72</v>
      </c>
    </row>
    <row r="73" spans="1:1" x14ac:dyDescent="0.25">
      <c r="A73" s="38">
        <v>73</v>
      </c>
    </row>
    <row r="74" spans="1:1" x14ac:dyDescent="0.25">
      <c r="A74" s="38">
        <v>74</v>
      </c>
    </row>
    <row r="75" spans="1:1" x14ac:dyDescent="0.25">
      <c r="A75" s="38">
        <v>75</v>
      </c>
    </row>
    <row r="76" spans="1:1" x14ac:dyDescent="0.25">
      <c r="A76" s="38">
        <v>76</v>
      </c>
    </row>
    <row r="77" spans="1:1" x14ac:dyDescent="0.25">
      <c r="A77" s="38">
        <v>77</v>
      </c>
    </row>
    <row r="78" spans="1:1" x14ac:dyDescent="0.25">
      <c r="A78" s="38">
        <v>78</v>
      </c>
    </row>
    <row r="79" spans="1:1" x14ac:dyDescent="0.25">
      <c r="A79" s="38">
        <v>79</v>
      </c>
    </row>
    <row r="80" spans="1:1" x14ac:dyDescent="0.25">
      <c r="A80" s="38">
        <v>80</v>
      </c>
    </row>
    <row r="81" spans="1:1" x14ac:dyDescent="0.25">
      <c r="A81" s="38">
        <v>81</v>
      </c>
    </row>
    <row r="82" spans="1:1" x14ac:dyDescent="0.25">
      <c r="A82" s="38">
        <v>82</v>
      </c>
    </row>
    <row r="83" spans="1:1" x14ac:dyDescent="0.25">
      <c r="A83" s="38">
        <v>83</v>
      </c>
    </row>
    <row r="84" spans="1:1" x14ac:dyDescent="0.25">
      <c r="A84" s="38">
        <v>84</v>
      </c>
    </row>
    <row r="85" spans="1:1" x14ac:dyDescent="0.25">
      <c r="A85" s="38">
        <v>85</v>
      </c>
    </row>
    <row r="86" spans="1:1" x14ac:dyDescent="0.25">
      <c r="A86" s="38">
        <v>86</v>
      </c>
    </row>
    <row r="87" spans="1:1" x14ac:dyDescent="0.25">
      <c r="A87" s="38">
        <v>87</v>
      </c>
    </row>
    <row r="88" spans="1:1" x14ac:dyDescent="0.25">
      <c r="A88" s="38">
        <v>88</v>
      </c>
    </row>
    <row r="89" spans="1:1" x14ac:dyDescent="0.25">
      <c r="A89" s="38">
        <v>89</v>
      </c>
    </row>
    <row r="90" spans="1:1" x14ac:dyDescent="0.25">
      <c r="A90" s="38">
        <v>90</v>
      </c>
    </row>
    <row r="91" spans="1:1" x14ac:dyDescent="0.25">
      <c r="A91" s="38">
        <v>91</v>
      </c>
    </row>
    <row r="92" spans="1:1" x14ac:dyDescent="0.25">
      <c r="A92" s="38">
        <v>92</v>
      </c>
    </row>
    <row r="93" spans="1:1" x14ac:dyDescent="0.25">
      <c r="A93" s="38">
        <v>93</v>
      </c>
    </row>
    <row r="94" spans="1:1" x14ac:dyDescent="0.25">
      <c r="A94" s="38">
        <v>94</v>
      </c>
    </row>
    <row r="95" spans="1:1" x14ac:dyDescent="0.25">
      <c r="A95" s="38">
        <v>95</v>
      </c>
    </row>
    <row r="96" spans="1:1" x14ac:dyDescent="0.25">
      <c r="A96" s="38">
        <v>96</v>
      </c>
    </row>
    <row r="97" spans="1:1" x14ac:dyDescent="0.25">
      <c r="A97" s="38">
        <v>97</v>
      </c>
    </row>
    <row r="98" spans="1:1" x14ac:dyDescent="0.25">
      <c r="A98" s="38">
        <v>98</v>
      </c>
    </row>
    <row r="99" spans="1:1" x14ac:dyDescent="0.25">
      <c r="A99" s="38">
        <v>99</v>
      </c>
    </row>
    <row r="100" spans="1:1" x14ac:dyDescent="0.25">
      <c r="A100" s="38">
        <v>100</v>
      </c>
    </row>
    <row r="101" spans="1:1" x14ac:dyDescent="0.25">
      <c r="A101" s="38">
        <v>101</v>
      </c>
    </row>
    <row r="102" spans="1:1" x14ac:dyDescent="0.25">
      <c r="A102" s="38">
        <v>102</v>
      </c>
    </row>
    <row r="103" spans="1:1" x14ac:dyDescent="0.25">
      <c r="A103" s="38">
        <v>103</v>
      </c>
    </row>
    <row r="104" spans="1:1" x14ac:dyDescent="0.25">
      <c r="A104" s="38">
        <v>104</v>
      </c>
    </row>
    <row r="105" spans="1:1" x14ac:dyDescent="0.25">
      <c r="A105" s="38">
        <v>105</v>
      </c>
    </row>
    <row r="106" spans="1:1" x14ac:dyDescent="0.25">
      <c r="A106" s="38">
        <v>106</v>
      </c>
    </row>
    <row r="107" spans="1:1" x14ac:dyDescent="0.25">
      <c r="A107" s="38">
        <v>107</v>
      </c>
    </row>
    <row r="108" spans="1:1" x14ac:dyDescent="0.25">
      <c r="A108" s="38">
        <v>108</v>
      </c>
    </row>
    <row r="109" spans="1:1" x14ac:dyDescent="0.25">
      <c r="A109" s="38">
        <v>109</v>
      </c>
    </row>
    <row r="110" spans="1:1" x14ac:dyDescent="0.25">
      <c r="A110" s="38">
        <v>110</v>
      </c>
    </row>
    <row r="111" spans="1:1" x14ac:dyDescent="0.25">
      <c r="A111" s="38">
        <v>111</v>
      </c>
    </row>
    <row r="112" spans="1:1" x14ac:dyDescent="0.25">
      <c r="A112" s="38">
        <v>112</v>
      </c>
    </row>
    <row r="113" spans="1:1" x14ac:dyDescent="0.25">
      <c r="A113" s="38">
        <v>113</v>
      </c>
    </row>
    <row r="114" spans="1:1" x14ac:dyDescent="0.25">
      <c r="A114" s="38">
        <v>114</v>
      </c>
    </row>
    <row r="115" spans="1:1" x14ac:dyDescent="0.25">
      <c r="A115" s="38">
        <v>115</v>
      </c>
    </row>
    <row r="116" spans="1:1" x14ac:dyDescent="0.25">
      <c r="A116" s="38">
        <v>116</v>
      </c>
    </row>
    <row r="117" spans="1:1" x14ac:dyDescent="0.25">
      <c r="A117" s="38">
        <v>117</v>
      </c>
    </row>
    <row r="118" spans="1:1" x14ac:dyDescent="0.25">
      <c r="A118" s="38">
        <v>118</v>
      </c>
    </row>
    <row r="119" spans="1:1" x14ac:dyDescent="0.25">
      <c r="A119" s="38">
        <v>119</v>
      </c>
    </row>
    <row r="120" spans="1:1" x14ac:dyDescent="0.25">
      <c r="A120" s="38">
        <v>120</v>
      </c>
    </row>
    <row r="121" spans="1:1" x14ac:dyDescent="0.25">
      <c r="A121" s="38">
        <v>121</v>
      </c>
    </row>
    <row r="122" spans="1:1" x14ac:dyDescent="0.25">
      <c r="A122" s="38">
        <v>122</v>
      </c>
    </row>
    <row r="123" spans="1:1" x14ac:dyDescent="0.25">
      <c r="A123" s="38">
        <v>123</v>
      </c>
    </row>
    <row r="124" spans="1:1" x14ac:dyDescent="0.25">
      <c r="A124" s="38">
        <v>124</v>
      </c>
    </row>
    <row r="125" spans="1:1" x14ac:dyDescent="0.25">
      <c r="A125" s="38">
        <v>125</v>
      </c>
    </row>
    <row r="126" spans="1:1" x14ac:dyDescent="0.25">
      <c r="A126" s="38">
        <v>126</v>
      </c>
    </row>
    <row r="127" spans="1:1" x14ac:dyDescent="0.25">
      <c r="A127" s="38">
        <v>127</v>
      </c>
    </row>
    <row r="128" spans="1:1" x14ac:dyDescent="0.25">
      <c r="A128" s="38">
        <v>128</v>
      </c>
    </row>
    <row r="129" spans="1:1" x14ac:dyDescent="0.25">
      <c r="A129" s="38">
        <v>129</v>
      </c>
    </row>
    <row r="130" spans="1:1" x14ac:dyDescent="0.25">
      <c r="A130" s="38">
        <v>130</v>
      </c>
    </row>
    <row r="131" spans="1:1" x14ac:dyDescent="0.25">
      <c r="A131" s="38">
        <v>131</v>
      </c>
    </row>
    <row r="132" spans="1:1" x14ac:dyDescent="0.25">
      <c r="A132" s="38">
        <v>132</v>
      </c>
    </row>
    <row r="133" spans="1:1" x14ac:dyDescent="0.25">
      <c r="A133" s="38">
        <v>133</v>
      </c>
    </row>
    <row r="134" spans="1:1" x14ac:dyDescent="0.25">
      <c r="A134" s="38">
        <v>134</v>
      </c>
    </row>
    <row r="135" spans="1:1" x14ac:dyDescent="0.25">
      <c r="A135" s="38">
        <v>135</v>
      </c>
    </row>
    <row r="136" spans="1:1" x14ac:dyDescent="0.25">
      <c r="A136" s="38">
        <v>136</v>
      </c>
    </row>
    <row r="137" spans="1:1" x14ac:dyDescent="0.25">
      <c r="A137" s="38">
        <v>137</v>
      </c>
    </row>
    <row r="138" spans="1:1" x14ac:dyDescent="0.25">
      <c r="A138" s="38">
        <v>138</v>
      </c>
    </row>
    <row r="139" spans="1:1" x14ac:dyDescent="0.25">
      <c r="A139" s="38">
        <v>139</v>
      </c>
    </row>
    <row r="140" spans="1:1" x14ac:dyDescent="0.25">
      <c r="A140" s="38">
        <v>140</v>
      </c>
    </row>
    <row r="141" spans="1:1" x14ac:dyDescent="0.25">
      <c r="A141" s="38">
        <v>141</v>
      </c>
    </row>
    <row r="142" spans="1:1" x14ac:dyDescent="0.25">
      <c r="A142" s="38">
        <v>142</v>
      </c>
    </row>
    <row r="143" spans="1:1" x14ac:dyDescent="0.25">
      <c r="A143" s="38">
        <v>143</v>
      </c>
    </row>
    <row r="144" spans="1:1" x14ac:dyDescent="0.25">
      <c r="A144" s="38">
        <v>144</v>
      </c>
    </row>
    <row r="145" spans="1:1" x14ac:dyDescent="0.25">
      <c r="A145" s="38">
        <v>145</v>
      </c>
    </row>
    <row r="146" spans="1:1" x14ac:dyDescent="0.25">
      <c r="A146" s="38">
        <v>146</v>
      </c>
    </row>
    <row r="147" spans="1:1" x14ac:dyDescent="0.25">
      <c r="A147" s="38">
        <v>147</v>
      </c>
    </row>
    <row r="148" spans="1:1" x14ac:dyDescent="0.25">
      <c r="A148" s="38">
        <v>148</v>
      </c>
    </row>
    <row r="149" spans="1:1" x14ac:dyDescent="0.25">
      <c r="A149" s="38">
        <v>149</v>
      </c>
    </row>
    <row r="150" spans="1:1" x14ac:dyDescent="0.25">
      <c r="A150" s="38">
        <v>150</v>
      </c>
    </row>
    <row r="151" spans="1:1" x14ac:dyDescent="0.25">
      <c r="A151" s="38">
        <v>151</v>
      </c>
    </row>
    <row r="152" spans="1:1" x14ac:dyDescent="0.25">
      <c r="A152" s="38">
        <v>152</v>
      </c>
    </row>
    <row r="153" spans="1:1" x14ac:dyDescent="0.25">
      <c r="A153" s="38">
        <v>153</v>
      </c>
    </row>
    <row r="154" spans="1:1" x14ac:dyDescent="0.25">
      <c r="A154" s="38">
        <v>154</v>
      </c>
    </row>
    <row r="155" spans="1:1" x14ac:dyDescent="0.25">
      <c r="A155" s="38">
        <v>155</v>
      </c>
    </row>
    <row r="156" spans="1:1" x14ac:dyDescent="0.25">
      <c r="A156" s="38">
        <v>156</v>
      </c>
    </row>
    <row r="157" spans="1:1" x14ac:dyDescent="0.25">
      <c r="A157" s="38">
        <v>157</v>
      </c>
    </row>
    <row r="158" spans="1:1" x14ac:dyDescent="0.25">
      <c r="A158" s="38">
        <v>158</v>
      </c>
    </row>
    <row r="159" spans="1:1" x14ac:dyDescent="0.25">
      <c r="A159" s="38">
        <v>159</v>
      </c>
    </row>
    <row r="160" spans="1:1" x14ac:dyDescent="0.25">
      <c r="A160" s="38">
        <v>160</v>
      </c>
    </row>
    <row r="161" spans="1:1" x14ac:dyDescent="0.25">
      <c r="A161" s="38">
        <v>161</v>
      </c>
    </row>
    <row r="162" spans="1:1" x14ac:dyDescent="0.25">
      <c r="A162" s="38">
        <v>162</v>
      </c>
    </row>
    <row r="163" spans="1:1" x14ac:dyDescent="0.25">
      <c r="A163" s="38">
        <v>163</v>
      </c>
    </row>
    <row r="164" spans="1:1" x14ac:dyDescent="0.25">
      <c r="A164" s="38">
        <v>164</v>
      </c>
    </row>
    <row r="165" spans="1:1" x14ac:dyDescent="0.25">
      <c r="A165" s="38">
        <v>165</v>
      </c>
    </row>
    <row r="166" spans="1:1" x14ac:dyDescent="0.25">
      <c r="A166" s="38">
        <v>166</v>
      </c>
    </row>
    <row r="167" spans="1:1" x14ac:dyDescent="0.25">
      <c r="A167" s="38">
        <v>167</v>
      </c>
    </row>
    <row r="168" spans="1:1" x14ac:dyDescent="0.25">
      <c r="A168" s="38">
        <v>168</v>
      </c>
    </row>
    <row r="169" spans="1:1" x14ac:dyDescent="0.25">
      <c r="A169" s="38">
        <v>169</v>
      </c>
    </row>
    <row r="170" spans="1:1" x14ac:dyDescent="0.25">
      <c r="A170" s="38">
        <v>170</v>
      </c>
    </row>
    <row r="171" spans="1:1" x14ac:dyDescent="0.25">
      <c r="A171" s="38">
        <v>171</v>
      </c>
    </row>
    <row r="172" spans="1:1" x14ac:dyDescent="0.25">
      <c r="A172" s="38">
        <v>172</v>
      </c>
    </row>
    <row r="173" spans="1:1" x14ac:dyDescent="0.25">
      <c r="A173" s="38">
        <v>173</v>
      </c>
    </row>
    <row r="174" spans="1:1" x14ac:dyDescent="0.25">
      <c r="A174" s="38">
        <v>174</v>
      </c>
    </row>
    <row r="175" spans="1:1" x14ac:dyDescent="0.25">
      <c r="A175" s="38">
        <v>175</v>
      </c>
    </row>
    <row r="176" spans="1:1" x14ac:dyDescent="0.25">
      <c r="A176" s="38">
        <v>176</v>
      </c>
    </row>
    <row r="177" spans="1:1" x14ac:dyDescent="0.25">
      <c r="A177" s="38">
        <v>177</v>
      </c>
    </row>
    <row r="178" spans="1:1" x14ac:dyDescent="0.25">
      <c r="A178" s="38">
        <v>178</v>
      </c>
    </row>
    <row r="179" spans="1:1" x14ac:dyDescent="0.25">
      <c r="A179" s="38">
        <v>179</v>
      </c>
    </row>
    <row r="180" spans="1:1" x14ac:dyDescent="0.25">
      <c r="A180" s="38">
        <v>180</v>
      </c>
    </row>
    <row r="181" spans="1:1" x14ac:dyDescent="0.25">
      <c r="A181" s="38">
        <v>181</v>
      </c>
    </row>
    <row r="182" spans="1:1" x14ac:dyDescent="0.25">
      <c r="A182" s="38">
        <v>182</v>
      </c>
    </row>
    <row r="183" spans="1:1" x14ac:dyDescent="0.25">
      <c r="A183" s="38">
        <v>183</v>
      </c>
    </row>
    <row r="184" spans="1:1" x14ac:dyDescent="0.25">
      <c r="A184" s="38">
        <v>184</v>
      </c>
    </row>
    <row r="185" spans="1:1" x14ac:dyDescent="0.25">
      <c r="A185" s="38">
        <v>185</v>
      </c>
    </row>
    <row r="186" spans="1:1" x14ac:dyDescent="0.25">
      <c r="A186" s="38">
        <v>186</v>
      </c>
    </row>
    <row r="187" spans="1:1" x14ac:dyDescent="0.25">
      <c r="A187" s="38">
        <v>187</v>
      </c>
    </row>
    <row r="188" spans="1:1" x14ac:dyDescent="0.25">
      <c r="A188" s="38">
        <v>188</v>
      </c>
    </row>
    <row r="189" spans="1:1" x14ac:dyDescent="0.25">
      <c r="A189" s="38">
        <v>189</v>
      </c>
    </row>
    <row r="190" spans="1:1" x14ac:dyDescent="0.25">
      <c r="A190" s="38">
        <v>190</v>
      </c>
    </row>
    <row r="191" spans="1:1" x14ac:dyDescent="0.25">
      <c r="A191" s="38">
        <v>191</v>
      </c>
    </row>
    <row r="192" spans="1:1" x14ac:dyDescent="0.25">
      <c r="A192" s="38">
        <v>192</v>
      </c>
    </row>
    <row r="193" spans="1:1" x14ac:dyDescent="0.25">
      <c r="A193" s="38">
        <v>193</v>
      </c>
    </row>
    <row r="194" spans="1:1" x14ac:dyDescent="0.25">
      <c r="A194" s="38">
        <v>194</v>
      </c>
    </row>
    <row r="195" spans="1:1" x14ac:dyDescent="0.25">
      <c r="A195" s="38">
        <v>195</v>
      </c>
    </row>
    <row r="196" spans="1:1" x14ac:dyDescent="0.25">
      <c r="A196" s="38">
        <v>196</v>
      </c>
    </row>
    <row r="197" spans="1:1" x14ac:dyDescent="0.25">
      <c r="A197" s="38">
        <v>197</v>
      </c>
    </row>
    <row r="198" spans="1:1" x14ac:dyDescent="0.25">
      <c r="A198" s="38">
        <v>198</v>
      </c>
    </row>
    <row r="199" spans="1:1" x14ac:dyDescent="0.25">
      <c r="A199" s="38">
        <v>199</v>
      </c>
    </row>
    <row r="200" spans="1:1" x14ac:dyDescent="0.25">
      <c r="A200" s="38">
        <v>200</v>
      </c>
    </row>
    <row r="201" spans="1:1" x14ac:dyDescent="0.25">
      <c r="A201" s="38">
        <v>201</v>
      </c>
    </row>
    <row r="202" spans="1:1" x14ac:dyDescent="0.25">
      <c r="A202" s="38">
        <v>202</v>
      </c>
    </row>
    <row r="203" spans="1:1" x14ac:dyDescent="0.25">
      <c r="A203" s="38">
        <v>203</v>
      </c>
    </row>
    <row r="204" spans="1:1" x14ac:dyDescent="0.25">
      <c r="A204" s="38">
        <v>204</v>
      </c>
    </row>
    <row r="205" spans="1:1" x14ac:dyDescent="0.25">
      <c r="A205" s="38">
        <v>205</v>
      </c>
    </row>
    <row r="206" spans="1:1" x14ac:dyDescent="0.25">
      <c r="A206" s="38">
        <v>206</v>
      </c>
    </row>
    <row r="207" spans="1:1" x14ac:dyDescent="0.25">
      <c r="A207" s="38">
        <v>207</v>
      </c>
    </row>
    <row r="208" spans="1:1" x14ac:dyDescent="0.25">
      <c r="A208" s="38">
        <v>208</v>
      </c>
    </row>
    <row r="209" spans="1:1" x14ac:dyDescent="0.25">
      <c r="A209" s="38">
        <v>209</v>
      </c>
    </row>
    <row r="210" spans="1:1" x14ac:dyDescent="0.25">
      <c r="A210" s="38">
        <v>210</v>
      </c>
    </row>
    <row r="211" spans="1:1" x14ac:dyDescent="0.25">
      <c r="A211" s="38">
        <v>211</v>
      </c>
    </row>
    <row r="212" spans="1:1" x14ac:dyDescent="0.25">
      <c r="A212" s="38">
        <v>212</v>
      </c>
    </row>
    <row r="213" spans="1:1" x14ac:dyDescent="0.25">
      <c r="A213" s="38">
        <v>213</v>
      </c>
    </row>
    <row r="214" spans="1:1" x14ac:dyDescent="0.25">
      <c r="A214" s="38">
        <v>214</v>
      </c>
    </row>
    <row r="215" spans="1:1" x14ac:dyDescent="0.25">
      <c r="A215" s="38">
        <v>215</v>
      </c>
    </row>
    <row r="216" spans="1:1" x14ac:dyDescent="0.25">
      <c r="A216" s="38">
        <v>216</v>
      </c>
    </row>
    <row r="217" spans="1:1" x14ac:dyDescent="0.25">
      <c r="A217" s="38">
        <v>217</v>
      </c>
    </row>
    <row r="218" spans="1:1" x14ac:dyDescent="0.25">
      <c r="A218" s="38">
        <v>218</v>
      </c>
    </row>
    <row r="219" spans="1:1" x14ac:dyDescent="0.25">
      <c r="A219" s="38">
        <v>219</v>
      </c>
    </row>
    <row r="220" spans="1:1" x14ac:dyDescent="0.25">
      <c r="A220" s="38">
        <v>220</v>
      </c>
    </row>
    <row r="221" spans="1:1" x14ac:dyDescent="0.25">
      <c r="A221" s="38">
        <v>221</v>
      </c>
    </row>
    <row r="222" spans="1:1" x14ac:dyDescent="0.25">
      <c r="A222" s="38">
        <v>222</v>
      </c>
    </row>
    <row r="223" spans="1:1" x14ac:dyDescent="0.25">
      <c r="A223" s="38">
        <v>223</v>
      </c>
    </row>
    <row r="224" spans="1:1" x14ac:dyDescent="0.25">
      <c r="A224" s="38">
        <v>224</v>
      </c>
    </row>
    <row r="225" spans="1:1" x14ac:dyDescent="0.25">
      <c r="A225" s="38">
        <v>225</v>
      </c>
    </row>
    <row r="226" spans="1:1" x14ac:dyDescent="0.25">
      <c r="A226" s="38">
        <v>226</v>
      </c>
    </row>
    <row r="227" spans="1:1" x14ac:dyDescent="0.25">
      <c r="A227" s="38">
        <v>227</v>
      </c>
    </row>
    <row r="228" spans="1:1" x14ac:dyDescent="0.25">
      <c r="A228" s="38">
        <v>228</v>
      </c>
    </row>
    <row r="229" spans="1:1" x14ac:dyDescent="0.25">
      <c r="A229" s="38">
        <v>229</v>
      </c>
    </row>
    <row r="230" spans="1:1" x14ac:dyDescent="0.25">
      <c r="A230" s="38">
        <v>230</v>
      </c>
    </row>
    <row r="231" spans="1:1" x14ac:dyDescent="0.25">
      <c r="A231" s="38">
        <v>231</v>
      </c>
    </row>
    <row r="232" spans="1:1" x14ac:dyDescent="0.25">
      <c r="A232" s="38">
        <v>232</v>
      </c>
    </row>
    <row r="233" spans="1:1" x14ac:dyDescent="0.25">
      <c r="A233" s="38">
        <v>233</v>
      </c>
    </row>
    <row r="234" spans="1:1" x14ac:dyDescent="0.25">
      <c r="A234" s="38">
        <v>234</v>
      </c>
    </row>
    <row r="235" spans="1:1" x14ac:dyDescent="0.25">
      <c r="A235" s="38">
        <v>235</v>
      </c>
    </row>
    <row r="236" spans="1:1" x14ac:dyDescent="0.25">
      <c r="A236" s="38">
        <v>236</v>
      </c>
    </row>
    <row r="237" spans="1:1" x14ac:dyDescent="0.25">
      <c r="A237" s="38">
        <v>237</v>
      </c>
    </row>
    <row r="238" spans="1:1" x14ac:dyDescent="0.25">
      <c r="A238" s="38">
        <v>238</v>
      </c>
    </row>
    <row r="239" spans="1:1" x14ac:dyDescent="0.25">
      <c r="A239" s="38">
        <v>239</v>
      </c>
    </row>
    <row r="240" spans="1:1" x14ac:dyDescent="0.25">
      <c r="A240" s="38">
        <v>240</v>
      </c>
    </row>
    <row r="241" spans="1:1" x14ac:dyDescent="0.25">
      <c r="A241" s="38">
        <v>241</v>
      </c>
    </row>
    <row r="242" spans="1:1" x14ac:dyDescent="0.25">
      <c r="A242" s="38">
        <v>242</v>
      </c>
    </row>
    <row r="243" spans="1:1" x14ac:dyDescent="0.25">
      <c r="A243" s="38">
        <v>243</v>
      </c>
    </row>
    <row r="244" spans="1:1" x14ac:dyDescent="0.25">
      <c r="A244" s="38">
        <v>244</v>
      </c>
    </row>
    <row r="245" spans="1:1" x14ac:dyDescent="0.25">
      <c r="A245" s="38">
        <v>245</v>
      </c>
    </row>
    <row r="246" spans="1:1" x14ac:dyDescent="0.25">
      <c r="A246" s="38">
        <v>246</v>
      </c>
    </row>
    <row r="247" spans="1:1" x14ac:dyDescent="0.25">
      <c r="A247" s="38">
        <v>247</v>
      </c>
    </row>
    <row r="248" spans="1:1" x14ac:dyDescent="0.25">
      <c r="A248" s="38">
        <v>248</v>
      </c>
    </row>
    <row r="249" spans="1:1" x14ac:dyDescent="0.25">
      <c r="A249" s="38">
        <v>249</v>
      </c>
    </row>
    <row r="250" spans="1:1" x14ac:dyDescent="0.25">
      <c r="A250" s="38">
        <v>250</v>
      </c>
    </row>
    <row r="251" spans="1:1" x14ac:dyDescent="0.25">
      <c r="A251" s="38">
        <v>251</v>
      </c>
    </row>
    <row r="252" spans="1:1" x14ac:dyDescent="0.25">
      <c r="A252" s="38">
        <v>252</v>
      </c>
    </row>
    <row r="253" spans="1:1" x14ac:dyDescent="0.25">
      <c r="A253" s="38">
        <v>253</v>
      </c>
    </row>
    <row r="254" spans="1:1" x14ac:dyDescent="0.25">
      <c r="A254" s="38">
        <v>254</v>
      </c>
    </row>
    <row r="255" spans="1:1" x14ac:dyDescent="0.25">
      <c r="A255" s="38">
        <v>255</v>
      </c>
    </row>
    <row r="256" spans="1:1" x14ac:dyDescent="0.25">
      <c r="A256" s="38">
        <v>256</v>
      </c>
    </row>
    <row r="257" spans="1:1" x14ac:dyDescent="0.25">
      <c r="A257" s="38">
        <v>257</v>
      </c>
    </row>
    <row r="258" spans="1:1" x14ac:dyDescent="0.25">
      <c r="A258" s="38">
        <v>258</v>
      </c>
    </row>
    <row r="259" spans="1:1" x14ac:dyDescent="0.25">
      <c r="A259" s="38">
        <v>259</v>
      </c>
    </row>
    <row r="260" spans="1:1" x14ac:dyDescent="0.25">
      <c r="A260" s="38">
        <v>260</v>
      </c>
    </row>
    <row r="261" spans="1:1" x14ac:dyDescent="0.25">
      <c r="A261" s="38">
        <v>261</v>
      </c>
    </row>
    <row r="262" spans="1:1" x14ac:dyDescent="0.25">
      <c r="A262" s="38">
        <v>262</v>
      </c>
    </row>
    <row r="263" spans="1:1" x14ac:dyDescent="0.25">
      <c r="A263" s="38">
        <v>263</v>
      </c>
    </row>
    <row r="264" spans="1:1" x14ac:dyDescent="0.25">
      <c r="A264" s="38">
        <v>264</v>
      </c>
    </row>
    <row r="265" spans="1:1" x14ac:dyDescent="0.25">
      <c r="A265" s="38">
        <v>265</v>
      </c>
    </row>
    <row r="266" spans="1:1" x14ac:dyDescent="0.25">
      <c r="A266" s="38">
        <v>266</v>
      </c>
    </row>
    <row r="267" spans="1:1" x14ac:dyDescent="0.25">
      <c r="A267" s="38">
        <v>267</v>
      </c>
    </row>
    <row r="268" spans="1:1" x14ac:dyDescent="0.25">
      <c r="A268" s="38">
        <v>268</v>
      </c>
    </row>
    <row r="269" spans="1:1" x14ac:dyDescent="0.25">
      <c r="A269" s="38">
        <v>269</v>
      </c>
    </row>
    <row r="270" spans="1:1" x14ac:dyDescent="0.25">
      <c r="A270" s="38">
        <v>270</v>
      </c>
    </row>
    <row r="271" spans="1:1" x14ac:dyDescent="0.25">
      <c r="A271" s="38">
        <v>271</v>
      </c>
    </row>
    <row r="272" spans="1:1" x14ac:dyDescent="0.25">
      <c r="A272" s="38">
        <v>272</v>
      </c>
    </row>
    <row r="273" spans="1:1" x14ac:dyDescent="0.25">
      <c r="A273" s="38">
        <v>273</v>
      </c>
    </row>
    <row r="274" spans="1:1" x14ac:dyDescent="0.25">
      <c r="A274" s="38">
        <v>274</v>
      </c>
    </row>
    <row r="275" spans="1:1" x14ac:dyDescent="0.25">
      <c r="A275" s="38">
        <v>275</v>
      </c>
    </row>
    <row r="276" spans="1:1" x14ac:dyDescent="0.25">
      <c r="A276" s="38">
        <v>276</v>
      </c>
    </row>
    <row r="277" spans="1:1" x14ac:dyDescent="0.25">
      <c r="A277" s="38">
        <v>277</v>
      </c>
    </row>
    <row r="278" spans="1:1" x14ac:dyDescent="0.25">
      <c r="A278" s="38">
        <v>278</v>
      </c>
    </row>
    <row r="279" spans="1:1" x14ac:dyDescent="0.25">
      <c r="A279" s="38">
        <v>279</v>
      </c>
    </row>
    <row r="280" spans="1:1" x14ac:dyDescent="0.25">
      <c r="A280" s="38">
        <v>280</v>
      </c>
    </row>
    <row r="281" spans="1:1" x14ac:dyDescent="0.25">
      <c r="A281" s="38">
        <v>281</v>
      </c>
    </row>
    <row r="282" spans="1:1" x14ac:dyDescent="0.25">
      <c r="A282" s="38">
        <v>282</v>
      </c>
    </row>
    <row r="283" spans="1:1" x14ac:dyDescent="0.25">
      <c r="A283" s="38">
        <v>283</v>
      </c>
    </row>
    <row r="284" spans="1:1" x14ac:dyDescent="0.25">
      <c r="A284" s="38">
        <v>284</v>
      </c>
    </row>
    <row r="285" spans="1:1" x14ac:dyDescent="0.25">
      <c r="A285" s="38">
        <v>285</v>
      </c>
    </row>
    <row r="286" spans="1:1" x14ac:dyDescent="0.25">
      <c r="A286" s="38">
        <v>286</v>
      </c>
    </row>
    <row r="287" spans="1:1" x14ac:dyDescent="0.25">
      <c r="A287" s="38">
        <v>287</v>
      </c>
    </row>
    <row r="288" spans="1:1" x14ac:dyDescent="0.25">
      <c r="A288" s="38">
        <v>288</v>
      </c>
    </row>
    <row r="289" spans="1:1" x14ac:dyDescent="0.25">
      <c r="A289" s="38">
        <v>289</v>
      </c>
    </row>
    <row r="290" spans="1:1" x14ac:dyDescent="0.25">
      <c r="A290" s="38">
        <v>290</v>
      </c>
    </row>
    <row r="291" spans="1:1" x14ac:dyDescent="0.25">
      <c r="A291" s="38">
        <v>291</v>
      </c>
    </row>
    <row r="292" spans="1:1" x14ac:dyDescent="0.25">
      <c r="A292" s="38">
        <v>292</v>
      </c>
    </row>
    <row r="293" spans="1:1" x14ac:dyDescent="0.25">
      <c r="A293" s="38">
        <v>293</v>
      </c>
    </row>
    <row r="294" spans="1:1" x14ac:dyDescent="0.25">
      <c r="A294" s="38">
        <v>294</v>
      </c>
    </row>
    <row r="295" spans="1:1" x14ac:dyDescent="0.25">
      <c r="A295" s="38">
        <v>295</v>
      </c>
    </row>
    <row r="296" spans="1:1" x14ac:dyDescent="0.25">
      <c r="A296" s="38">
        <v>296</v>
      </c>
    </row>
    <row r="297" spans="1:1" x14ac:dyDescent="0.25">
      <c r="A297" s="38">
        <v>297</v>
      </c>
    </row>
    <row r="298" spans="1:1" x14ac:dyDescent="0.25">
      <c r="A298" s="38">
        <v>298</v>
      </c>
    </row>
    <row r="299" spans="1:1" x14ac:dyDescent="0.25">
      <c r="A299" s="38">
        <v>299</v>
      </c>
    </row>
    <row r="300" spans="1:1" x14ac:dyDescent="0.25">
      <c r="A300" s="38">
        <v>300</v>
      </c>
    </row>
    <row r="301" spans="1:1" x14ac:dyDescent="0.25">
      <c r="A301" s="38">
        <v>301</v>
      </c>
    </row>
    <row r="302" spans="1:1" x14ac:dyDescent="0.25">
      <c r="A302" s="38">
        <v>302</v>
      </c>
    </row>
    <row r="303" spans="1:1" x14ac:dyDescent="0.25">
      <c r="A303" s="38">
        <v>303</v>
      </c>
    </row>
    <row r="304" spans="1:1" x14ac:dyDescent="0.25">
      <c r="A304" s="38">
        <v>304</v>
      </c>
    </row>
    <row r="305" spans="1:1" x14ac:dyDescent="0.25">
      <c r="A305" s="38">
        <v>305</v>
      </c>
    </row>
    <row r="306" spans="1:1" x14ac:dyDescent="0.25">
      <c r="A306" s="38">
        <v>306</v>
      </c>
    </row>
    <row r="307" spans="1:1" x14ac:dyDescent="0.25">
      <c r="A307" s="38">
        <v>307</v>
      </c>
    </row>
    <row r="308" spans="1:1" x14ac:dyDescent="0.25">
      <c r="A308" s="38">
        <v>308</v>
      </c>
    </row>
    <row r="309" spans="1:1" x14ac:dyDescent="0.25">
      <c r="A309" s="38">
        <v>309</v>
      </c>
    </row>
    <row r="310" spans="1:1" x14ac:dyDescent="0.25">
      <c r="A310" s="38">
        <v>310</v>
      </c>
    </row>
    <row r="311" spans="1:1" x14ac:dyDescent="0.25">
      <c r="A311" s="38">
        <v>311</v>
      </c>
    </row>
    <row r="312" spans="1:1" x14ac:dyDescent="0.25">
      <c r="A312" s="38">
        <v>312</v>
      </c>
    </row>
    <row r="313" spans="1:1" x14ac:dyDescent="0.25">
      <c r="A313" s="38">
        <v>313</v>
      </c>
    </row>
    <row r="314" spans="1:1" x14ac:dyDescent="0.25">
      <c r="A314" s="38">
        <v>314</v>
      </c>
    </row>
    <row r="315" spans="1:1" x14ac:dyDescent="0.25">
      <c r="A315" s="38">
        <v>315</v>
      </c>
    </row>
    <row r="316" spans="1:1" x14ac:dyDescent="0.25">
      <c r="A316" s="38">
        <v>316</v>
      </c>
    </row>
    <row r="317" spans="1:1" x14ac:dyDescent="0.25">
      <c r="A317" s="38">
        <v>317</v>
      </c>
    </row>
    <row r="318" spans="1:1" x14ac:dyDescent="0.25">
      <c r="A318" s="38">
        <v>318</v>
      </c>
    </row>
    <row r="319" spans="1:1" x14ac:dyDescent="0.25">
      <c r="A319" s="38">
        <v>319</v>
      </c>
    </row>
    <row r="320" spans="1:1" x14ac:dyDescent="0.25">
      <c r="A320" s="38">
        <v>320</v>
      </c>
    </row>
    <row r="321" spans="1:1" x14ac:dyDescent="0.25">
      <c r="A321" s="38">
        <v>321</v>
      </c>
    </row>
    <row r="322" spans="1:1" x14ac:dyDescent="0.25">
      <c r="A322" s="38">
        <v>322</v>
      </c>
    </row>
    <row r="323" spans="1:1" x14ac:dyDescent="0.25">
      <c r="A323" s="38">
        <v>323</v>
      </c>
    </row>
    <row r="324" spans="1:1" x14ac:dyDescent="0.25">
      <c r="A324" s="38">
        <v>324</v>
      </c>
    </row>
    <row r="325" spans="1:1" x14ac:dyDescent="0.25">
      <c r="A325" s="38">
        <v>325</v>
      </c>
    </row>
    <row r="326" spans="1:1" x14ac:dyDescent="0.25">
      <c r="A326" s="38">
        <v>326</v>
      </c>
    </row>
    <row r="327" spans="1:1" x14ac:dyDescent="0.25">
      <c r="A327" s="38">
        <v>327</v>
      </c>
    </row>
    <row r="328" spans="1:1" x14ac:dyDescent="0.25">
      <c r="A328" s="38">
        <v>328</v>
      </c>
    </row>
    <row r="329" spans="1:1" x14ac:dyDescent="0.25">
      <c r="A329" s="38">
        <v>329</v>
      </c>
    </row>
    <row r="330" spans="1:1" x14ac:dyDescent="0.25">
      <c r="A330" s="38">
        <v>330</v>
      </c>
    </row>
    <row r="331" spans="1:1" x14ac:dyDescent="0.25">
      <c r="A331" s="38">
        <v>331</v>
      </c>
    </row>
    <row r="332" spans="1:1" x14ac:dyDescent="0.25">
      <c r="A332" s="38">
        <v>332</v>
      </c>
    </row>
    <row r="333" spans="1:1" x14ac:dyDescent="0.25">
      <c r="A333" s="38">
        <v>333</v>
      </c>
    </row>
    <row r="334" spans="1:1" x14ac:dyDescent="0.25">
      <c r="A334" s="38">
        <v>334</v>
      </c>
    </row>
    <row r="335" spans="1:1" x14ac:dyDescent="0.25">
      <c r="A335" s="38">
        <v>335</v>
      </c>
    </row>
    <row r="336" spans="1:1" x14ac:dyDescent="0.25">
      <c r="A336" s="38">
        <v>336</v>
      </c>
    </row>
    <row r="337" spans="1:1" x14ac:dyDescent="0.25">
      <c r="A337" s="38">
        <v>337</v>
      </c>
    </row>
    <row r="338" spans="1:1" x14ac:dyDescent="0.25">
      <c r="A338" s="38">
        <v>338</v>
      </c>
    </row>
    <row r="339" spans="1:1" x14ac:dyDescent="0.25">
      <c r="A339" s="38">
        <v>339</v>
      </c>
    </row>
    <row r="340" spans="1:1" x14ac:dyDescent="0.25">
      <c r="A340" s="38">
        <v>340</v>
      </c>
    </row>
    <row r="341" spans="1:1" x14ac:dyDescent="0.25">
      <c r="A341" s="38">
        <v>341</v>
      </c>
    </row>
    <row r="342" spans="1:1" x14ac:dyDescent="0.25">
      <c r="A342" s="38">
        <v>342</v>
      </c>
    </row>
    <row r="343" spans="1:1" x14ac:dyDescent="0.25">
      <c r="A343" s="38">
        <v>343</v>
      </c>
    </row>
    <row r="344" spans="1:1" x14ac:dyDescent="0.25">
      <c r="A344" s="38">
        <v>344</v>
      </c>
    </row>
    <row r="345" spans="1:1" x14ac:dyDescent="0.25">
      <c r="A345" s="38">
        <v>345</v>
      </c>
    </row>
    <row r="346" spans="1:1" x14ac:dyDescent="0.25">
      <c r="A346" s="38">
        <v>346</v>
      </c>
    </row>
    <row r="347" spans="1:1" x14ac:dyDescent="0.25">
      <c r="A347" s="38">
        <v>347</v>
      </c>
    </row>
    <row r="348" spans="1:1" x14ac:dyDescent="0.25">
      <c r="A348" s="38">
        <v>348</v>
      </c>
    </row>
    <row r="349" spans="1:1" x14ac:dyDescent="0.25">
      <c r="A349" s="38">
        <v>349</v>
      </c>
    </row>
    <row r="350" spans="1:1" x14ac:dyDescent="0.25">
      <c r="A350" s="38">
        <v>350</v>
      </c>
    </row>
    <row r="351" spans="1:1" x14ac:dyDescent="0.25">
      <c r="A351" s="38">
        <v>351</v>
      </c>
    </row>
    <row r="352" spans="1:1" x14ac:dyDescent="0.25">
      <c r="A352" s="38">
        <v>352</v>
      </c>
    </row>
    <row r="353" spans="1:1" x14ac:dyDescent="0.25">
      <c r="A353" s="38">
        <v>353</v>
      </c>
    </row>
    <row r="354" spans="1:1" x14ac:dyDescent="0.25">
      <c r="A354" s="38">
        <v>354</v>
      </c>
    </row>
    <row r="355" spans="1:1" x14ac:dyDescent="0.25">
      <c r="A355" s="38">
        <v>355</v>
      </c>
    </row>
    <row r="356" spans="1:1" x14ac:dyDescent="0.25">
      <c r="A356" s="38">
        <v>356</v>
      </c>
    </row>
    <row r="357" spans="1:1" x14ac:dyDescent="0.25">
      <c r="A357" s="38">
        <v>357</v>
      </c>
    </row>
    <row r="358" spans="1:1" x14ac:dyDescent="0.25">
      <c r="A358" s="38">
        <v>358</v>
      </c>
    </row>
    <row r="359" spans="1:1" x14ac:dyDescent="0.25">
      <c r="A359" s="38">
        <v>359</v>
      </c>
    </row>
    <row r="360" spans="1:1" x14ac:dyDescent="0.25">
      <c r="A360" s="38">
        <v>360</v>
      </c>
    </row>
    <row r="361" spans="1:1" x14ac:dyDescent="0.25">
      <c r="A361" s="38">
        <v>361</v>
      </c>
    </row>
    <row r="362" spans="1:1" x14ac:dyDescent="0.25">
      <c r="A362" s="38">
        <v>362</v>
      </c>
    </row>
    <row r="363" spans="1:1" x14ac:dyDescent="0.25">
      <c r="A363" s="38">
        <v>363</v>
      </c>
    </row>
    <row r="364" spans="1:1" x14ac:dyDescent="0.25">
      <c r="A364" s="38">
        <v>364</v>
      </c>
    </row>
    <row r="365" spans="1:1" x14ac:dyDescent="0.25">
      <c r="A365" s="38">
        <v>365</v>
      </c>
    </row>
    <row r="366" spans="1:1" x14ac:dyDescent="0.25">
      <c r="A366" s="38">
        <v>366</v>
      </c>
    </row>
    <row r="367" spans="1:1" x14ac:dyDescent="0.25">
      <c r="A367" s="38">
        <v>367</v>
      </c>
    </row>
    <row r="368" spans="1:1" x14ac:dyDescent="0.25">
      <c r="A368" s="38">
        <v>368</v>
      </c>
    </row>
    <row r="369" spans="1:1" x14ac:dyDescent="0.25">
      <c r="A369" s="38">
        <v>369</v>
      </c>
    </row>
    <row r="370" spans="1:1" x14ac:dyDescent="0.25">
      <c r="A370" s="38">
        <v>370</v>
      </c>
    </row>
    <row r="371" spans="1:1" x14ac:dyDescent="0.25">
      <c r="A371" s="38">
        <v>371</v>
      </c>
    </row>
    <row r="372" spans="1:1" x14ac:dyDescent="0.25">
      <c r="A372" s="38">
        <v>372</v>
      </c>
    </row>
    <row r="373" spans="1:1" x14ac:dyDescent="0.25">
      <c r="A373" s="38">
        <v>373</v>
      </c>
    </row>
    <row r="374" spans="1:1" x14ac:dyDescent="0.25">
      <c r="A374" s="38">
        <v>374</v>
      </c>
    </row>
    <row r="375" spans="1:1" x14ac:dyDescent="0.25">
      <c r="A375" s="38">
        <v>375</v>
      </c>
    </row>
    <row r="376" spans="1:1" x14ac:dyDescent="0.25">
      <c r="A376" s="38">
        <v>376</v>
      </c>
    </row>
    <row r="377" spans="1:1" x14ac:dyDescent="0.25">
      <c r="A377" s="38">
        <v>377</v>
      </c>
    </row>
    <row r="378" spans="1:1" x14ac:dyDescent="0.25">
      <c r="A378" s="38">
        <v>378</v>
      </c>
    </row>
    <row r="379" spans="1:1" x14ac:dyDescent="0.25">
      <c r="A379" s="38">
        <v>379</v>
      </c>
    </row>
    <row r="380" spans="1:1" x14ac:dyDescent="0.25">
      <c r="A380" s="38">
        <v>380</v>
      </c>
    </row>
    <row r="381" spans="1:1" x14ac:dyDescent="0.25">
      <c r="A381" s="38">
        <v>381</v>
      </c>
    </row>
    <row r="382" spans="1:1" x14ac:dyDescent="0.25">
      <c r="A382" s="38">
        <v>382</v>
      </c>
    </row>
    <row r="383" spans="1:1" x14ac:dyDescent="0.25">
      <c r="A383" s="38">
        <v>383</v>
      </c>
    </row>
    <row r="384" spans="1:1" x14ac:dyDescent="0.25">
      <c r="A384" s="38">
        <v>384</v>
      </c>
    </row>
    <row r="385" spans="1:1" x14ac:dyDescent="0.25">
      <c r="A385" s="38">
        <v>385</v>
      </c>
    </row>
    <row r="386" spans="1:1" x14ac:dyDescent="0.25">
      <c r="A386" s="38">
        <v>386</v>
      </c>
    </row>
    <row r="387" spans="1:1" x14ac:dyDescent="0.25">
      <c r="A387" s="38">
        <v>387</v>
      </c>
    </row>
    <row r="388" spans="1:1" x14ac:dyDescent="0.25">
      <c r="A388" s="38">
        <v>388</v>
      </c>
    </row>
    <row r="389" spans="1:1" x14ac:dyDescent="0.25">
      <c r="A389" s="38">
        <v>389</v>
      </c>
    </row>
    <row r="390" spans="1:1" x14ac:dyDescent="0.25">
      <c r="A390" s="38">
        <v>390</v>
      </c>
    </row>
    <row r="391" spans="1:1" x14ac:dyDescent="0.25">
      <c r="A391" s="38">
        <v>391</v>
      </c>
    </row>
    <row r="392" spans="1:1" x14ac:dyDescent="0.25">
      <c r="A392" s="38">
        <v>392</v>
      </c>
    </row>
    <row r="393" spans="1:1" x14ac:dyDescent="0.25">
      <c r="A393" s="38">
        <v>393</v>
      </c>
    </row>
    <row r="394" spans="1:1" x14ac:dyDescent="0.25">
      <c r="A394" s="38">
        <v>394</v>
      </c>
    </row>
    <row r="395" spans="1:1" x14ac:dyDescent="0.25">
      <c r="A395" s="38">
        <v>395</v>
      </c>
    </row>
    <row r="396" spans="1:1" x14ac:dyDescent="0.25">
      <c r="A396" s="38">
        <v>396</v>
      </c>
    </row>
    <row r="397" spans="1:1" x14ac:dyDescent="0.25">
      <c r="A397" s="38">
        <v>397</v>
      </c>
    </row>
    <row r="398" spans="1:1" x14ac:dyDescent="0.25">
      <c r="A398" s="38">
        <v>398</v>
      </c>
    </row>
    <row r="399" spans="1:1" x14ac:dyDescent="0.25">
      <c r="A399" s="38">
        <v>399</v>
      </c>
    </row>
    <row r="400" spans="1:1" x14ac:dyDescent="0.25">
      <c r="A400" s="38">
        <v>400</v>
      </c>
    </row>
    <row r="401" spans="1:1" x14ac:dyDescent="0.25">
      <c r="A401" s="38">
        <v>401</v>
      </c>
    </row>
    <row r="402" spans="1:1" x14ac:dyDescent="0.25">
      <c r="A402" s="38">
        <v>402</v>
      </c>
    </row>
    <row r="403" spans="1:1" x14ac:dyDescent="0.25">
      <c r="A403" s="38">
        <v>403</v>
      </c>
    </row>
    <row r="404" spans="1:1" x14ac:dyDescent="0.25">
      <c r="A404" s="38">
        <v>404</v>
      </c>
    </row>
    <row r="405" spans="1:1" x14ac:dyDescent="0.25">
      <c r="A405" s="38">
        <v>405</v>
      </c>
    </row>
    <row r="406" spans="1:1" x14ac:dyDescent="0.25">
      <c r="A406" s="38">
        <v>406</v>
      </c>
    </row>
    <row r="407" spans="1:1" x14ac:dyDescent="0.25">
      <c r="A407" s="38">
        <v>407</v>
      </c>
    </row>
    <row r="408" spans="1:1" x14ac:dyDescent="0.25">
      <c r="A408" s="38">
        <v>408</v>
      </c>
    </row>
    <row r="409" spans="1:1" x14ac:dyDescent="0.25">
      <c r="A409" s="38">
        <v>409</v>
      </c>
    </row>
    <row r="410" spans="1:1" x14ac:dyDescent="0.25">
      <c r="A410" s="38">
        <v>410</v>
      </c>
    </row>
    <row r="411" spans="1:1" x14ac:dyDescent="0.25">
      <c r="A411" s="38">
        <v>411</v>
      </c>
    </row>
    <row r="412" spans="1:1" x14ac:dyDescent="0.25">
      <c r="A412" s="38">
        <v>412</v>
      </c>
    </row>
    <row r="413" spans="1:1" x14ac:dyDescent="0.25">
      <c r="A413" s="38">
        <v>413</v>
      </c>
    </row>
    <row r="414" spans="1:1" x14ac:dyDescent="0.25">
      <c r="A414" s="38">
        <v>414</v>
      </c>
    </row>
    <row r="415" spans="1:1" x14ac:dyDescent="0.25">
      <c r="A415" s="38">
        <v>415</v>
      </c>
    </row>
    <row r="416" spans="1:1" x14ac:dyDescent="0.25">
      <c r="A416" s="38">
        <v>416</v>
      </c>
    </row>
    <row r="417" spans="1:1" x14ac:dyDescent="0.25">
      <c r="A417" s="38">
        <v>417</v>
      </c>
    </row>
    <row r="418" spans="1:1" x14ac:dyDescent="0.25">
      <c r="A418" s="38">
        <v>418</v>
      </c>
    </row>
    <row r="419" spans="1:1" x14ac:dyDescent="0.25">
      <c r="A419" s="38">
        <v>419</v>
      </c>
    </row>
    <row r="420" spans="1:1" x14ac:dyDescent="0.25">
      <c r="A420" s="38">
        <v>420</v>
      </c>
    </row>
    <row r="421" spans="1:1" x14ac:dyDescent="0.25">
      <c r="A421" s="38">
        <v>421</v>
      </c>
    </row>
    <row r="422" spans="1:1" x14ac:dyDescent="0.25">
      <c r="A422" s="38">
        <v>422</v>
      </c>
    </row>
    <row r="423" spans="1:1" x14ac:dyDescent="0.25">
      <c r="A423" s="38">
        <v>423</v>
      </c>
    </row>
    <row r="424" spans="1:1" x14ac:dyDescent="0.25">
      <c r="A424" s="38">
        <v>424</v>
      </c>
    </row>
    <row r="425" spans="1:1" x14ac:dyDescent="0.25">
      <c r="A425" s="38">
        <v>425</v>
      </c>
    </row>
    <row r="426" spans="1:1" x14ac:dyDescent="0.25">
      <c r="A426" s="38">
        <v>426</v>
      </c>
    </row>
    <row r="427" spans="1:1" x14ac:dyDescent="0.25">
      <c r="A427" s="38">
        <v>427</v>
      </c>
    </row>
    <row r="428" spans="1:1" x14ac:dyDescent="0.25">
      <c r="A428" s="38">
        <v>428</v>
      </c>
    </row>
    <row r="429" spans="1:1" x14ac:dyDescent="0.25">
      <c r="A429" s="38">
        <v>429</v>
      </c>
    </row>
    <row r="430" spans="1:1" x14ac:dyDescent="0.25">
      <c r="A430" s="38">
        <v>430</v>
      </c>
    </row>
    <row r="431" spans="1:1" x14ac:dyDescent="0.25">
      <c r="A431" s="38">
        <v>431</v>
      </c>
    </row>
    <row r="432" spans="1:1" x14ac:dyDescent="0.25">
      <c r="A432" s="38">
        <v>432</v>
      </c>
    </row>
    <row r="433" spans="1:1" x14ac:dyDescent="0.25">
      <c r="A433" s="38">
        <v>433</v>
      </c>
    </row>
    <row r="434" spans="1:1" x14ac:dyDescent="0.25">
      <c r="A434" s="38">
        <v>434</v>
      </c>
    </row>
    <row r="435" spans="1:1" x14ac:dyDescent="0.25">
      <c r="A435" s="38">
        <v>435</v>
      </c>
    </row>
    <row r="436" spans="1:1" x14ac:dyDescent="0.25">
      <c r="A436" s="38">
        <v>436</v>
      </c>
    </row>
    <row r="437" spans="1:1" x14ac:dyDescent="0.25">
      <c r="A437" s="38">
        <v>437</v>
      </c>
    </row>
    <row r="438" spans="1:1" x14ac:dyDescent="0.25">
      <c r="A438" s="38">
        <v>438</v>
      </c>
    </row>
    <row r="439" spans="1:1" x14ac:dyDescent="0.25">
      <c r="A439" s="38">
        <v>439</v>
      </c>
    </row>
    <row r="440" spans="1:1" x14ac:dyDescent="0.25">
      <c r="A440" s="38">
        <v>440</v>
      </c>
    </row>
    <row r="441" spans="1:1" x14ac:dyDescent="0.25">
      <c r="A441" s="38">
        <v>441</v>
      </c>
    </row>
    <row r="442" spans="1:1" x14ac:dyDescent="0.25">
      <c r="A442" s="38">
        <v>442</v>
      </c>
    </row>
    <row r="443" spans="1:1" x14ac:dyDescent="0.25">
      <c r="A443" s="38">
        <v>443</v>
      </c>
    </row>
    <row r="444" spans="1:1" x14ac:dyDescent="0.25">
      <c r="A444" s="38">
        <v>444</v>
      </c>
    </row>
    <row r="445" spans="1:1" x14ac:dyDescent="0.25">
      <c r="A445" s="38">
        <v>445</v>
      </c>
    </row>
    <row r="446" spans="1:1" x14ac:dyDescent="0.25">
      <c r="A446" s="38">
        <v>446</v>
      </c>
    </row>
    <row r="447" spans="1:1" x14ac:dyDescent="0.25">
      <c r="A447" s="38">
        <v>447</v>
      </c>
    </row>
    <row r="448" spans="1:1" x14ac:dyDescent="0.25">
      <c r="A448" s="38">
        <v>448</v>
      </c>
    </row>
    <row r="449" spans="1:1" x14ac:dyDescent="0.25">
      <c r="A449" s="38">
        <v>449</v>
      </c>
    </row>
    <row r="450" spans="1:1" x14ac:dyDescent="0.25">
      <c r="A450" s="38">
        <v>450</v>
      </c>
    </row>
    <row r="451" spans="1:1" x14ac:dyDescent="0.25">
      <c r="A451" s="38">
        <v>451</v>
      </c>
    </row>
    <row r="452" spans="1:1" x14ac:dyDescent="0.25">
      <c r="A452" s="38">
        <v>452</v>
      </c>
    </row>
    <row r="453" spans="1:1" x14ac:dyDescent="0.25">
      <c r="A453" s="38">
        <v>453</v>
      </c>
    </row>
    <row r="454" spans="1:1" x14ac:dyDescent="0.25">
      <c r="A454" s="38">
        <v>454</v>
      </c>
    </row>
    <row r="455" spans="1:1" x14ac:dyDescent="0.25">
      <c r="A455" s="38">
        <v>455</v>
      </c>
    </row>
    <row r="456" spans="1:1" x14ac:dyDescent="0.25">
      <c r="A456" s="38">
        <v>456</v>
      </c>
    </row>
    <row r="457" spans="1:1" x14ac:dyDescent="0.25">
      <c r="A457" s="38">
        <v>457</v>
      </c>
    </row>
    <row r="458" spans="1:1" x14ac:dyDescent="0.25">
      <c r="A458" s="38">
        <v>458</v>
      </c>
    </row>
    <row r="459" spans="1:1" x14ac:dyDescent="0.25">
      <c r="A459" s="38">
        <v>459</v>
      </c>
    </row>
    <row r="460" spans="1:1" x14ac:dyDescent="0.25">
      <c r="A460" s="38">
        <v>460</v>
      </c>
    </row>
    <row r="461" spans="1:1" x14ac:dyDescent="0.25">
      <c r="A461" s="38">
        <v>461</v>
      </c>
    </row>
    <row r="462" spans="1:1" x14ac:dyDescent="0.25">
      <c r="A462" s="38">
        <v>462</v>
      </c>
    </row>
    <row r="463" spans="1:1" x14ac:dyDescent="0.25">
      <c r="A463" s="38">
        <v>463</v>
      </c>
    </row>
    <row r="464" spans="1:1" x14ac:dyDescent="0.25">
      <c r="A464" s="38">
        <v>464</v>
      </c>
    </row>
    <row r="465" spans="1:1" x14ac:dyDescent="0.25">
      <c r="A465" s="38">
        <v>465</v>
      </c>
    </row>
    <row r="466" spans="1:1" x14ac:dyDescent="0.25">
      <c r="A466" s="38">
        <v>466</v>
      </c>
    </row>
    <row r="467" spans="1:1" x14ac:dyDescent="0.25">
      <c r="A467" s="38">
        <v>467</v>
      </c>
    </row>
    <row r="468" spans="1:1" x14ac:dyDescent="0.25">
      <c r="A468" s="38">
        <v>468</v>
      </c>
    </row>
    <row r="469" spans="1:1" x14ac:dyDescent="0.25">
      <c r="A469" s="38">
        <v>469</v>
      </c>
    </row>
    <row r="470" spans="1:1" x14ac:dyDescent="0.25">
      <c r="A470" s="38">
        <v>470</v>
      </c>
    </row>
    <row r="471" spans="1:1" x14ac:dyDescent="0.25">
      <c r="A471" s="38">
        <v>471</v>
      </c>
    </row>
    <row r="472" spans="1:1" x14ac:dyDescent="0.25">
      <c r="A472" s="38">
        <v>472</v>
      </c>
    </row>
    <row r="473" spans="1:1" x14ac:dyDescent="0.25">
      <c r="A473" s="38">
        <v>473</v>
      </c>
    </row>
    <row r="474" spans="1:1" x14ac:dyDescent="0.25">
      <c r="A474" s="38">
        <v>474</v>
      </c>
    </row>
    <row r="475" spans="1:1" x14ac:dyDescent="0.25">
      <c r="A475" s="38">
        <v>475</v>
      </c>
    </row>
    <row r="476" spans="1:1" x14ac:dyDescent="0.25">
      <c r="A476" s="38">
        <v>476</v>
      </c>
    </row>
    <row r="477" spans="1:1" x14ac:dyDescent="0.25">
      <c r="A477" s="38">
        <v>477</v>
      </c>
    </row>
    <row r="478" spans="1:1" x14ac:dyDescent="0.25">
      <c r="A478" s="38">
        <v>478</v>
      </c>
    </row>
    <row r="479" spans="1:1" x14ac:dyDescent="0.25">
      <c r="A479" s="38">
        <v>479</v>
      </c>
    </row>
    <row r="480" spans="1:1" x14ac:dyDescent="0.25">
      <c r="A480" s="38">
        <v>480</v>
      </c>
    </row>
    <row r="481" spans="1:1" x14ac:dyDescent="0.25">
      <c r="A481" s="38">
        <v>481</v>
      </c>
    </row>
    <row r="482" spans="1:1" x14ac:dyDescent="0.25">
      <c r="A482" s="38">
        <v>482</v>
      </c>
    </row>
    <row r="483" spans="1:1" x14ac:dyDescent="0.25">
      <c r="A483" s="38">
        <v>483</v>
      </c>
    </row>
    <row r="484" spans="1:1" x14ac:dyDescent="0.25">
      <c r="A484" s="38">
        <v>484</v>
      </c>
    </row>
    <row r="485" spans="1:1" x14ac:dyDescent="0.25">
      <c r="A485" s="38">
        <v>485</v>
      </c>
    </row>
    <row r="486" spans="1:1" x14ac:dyDescent="0.25">
      <c r="A486" s="38">
        <v>486</v>
      </c>
    </row>
    <row r="487" spans="1:1" x14ac:dyDescent="0.25">
      <c r="A487" s="38">
        <v>487</v>
      </c>
    </row>
    <row r="488" spans="1:1" x14ac:dyDescent="0.25">
      <c r="A488" s="38">
        <v>488</v>
      </c>
    </row>
    <row r="489" spans="1:1" x14ac:dyDescent="0.25">
      <c r="A489" s="38">
        <v>489</v>
      </c>
    </row>
    <row r="490" spans="1:1" x14ac:dyDescent="0.25">
      <c r="A490" s="38">
        <v>490</v>
      </c>
    </row>
    <row r="491" spans="1:1" x14ac:dyDescent="0.25">
      <c r="A491" s="38">
        <v>491</v>
      </c>
    </row>
    <row r="492" spans="1:1" x14ac:dyDescent="0.25">
      <c r="A492" s="38">
        <v>492</v>
      </c>
    </row>
    <row r="493" spans="1:1" x14ac:dyDescent="0.25">
      <c r="A493" s="38">
        <v>493</v>
      </c>
    </row>
    <row r="494" spans="1:1" x14ac:dyDescent="0.25">
      <c r="A494" s="38">
        <v>494</v>
      </c>
    </row>
    <row r="495" spans="1:1" x14ac:dyDescent="0.25">
      <c r="A495" s="38">
        <v>495</v>
      </c>
    </row>
    <row r="496" spans="1:1" x14ac:dyDescent="0.25">
      <c r="A496" s="38">
        <v>496</v>
      </c>
    </row>
    <row r="497" spans="1:1" x14ac:dyDescent="0.25">
      <c r="A497" s="38">
        <v>497</v>
      </c>
    </row>
    <row r="498" spans="1:1" x14ac:dyDescent="0.25">
      <c r="A498" s="38">
        <v>498</v>
      </c>
    </row>
    <row r="499" spans="1:1" x14ac:dyDescent="0.25">
      <c r="A499" s="38">
        <v>499</v>
      </c>
    </row>
    <row r="500" spans="1:1" x14ac:dyDescent="0.25">
      <c r="A500" s="38">
        <v>500</v>
      </c>
    </row>
    <row r="501" spans="1:1" x14ac:dyDescent="0.25">
      <c r="A501" s="38">
        <v>501</v>
      </c>
    </row>
    <row r="502" spans="1:1" x14ac:dyDescent="0.25">
      <c r="A502" s="38">
        <v>502</v>
      </c>
    </row>
    <row r="503" spans="1:1" x14ac:dyDescent="0.25">
      <c r="A503" s="38">
        <v>503</v>
      </c>
    </row>
    <row r="504" spans="1:1" x14ac:dyDescent="0.25">
      <c r="A504" s="38">
        <v>504</v>
      </c>
    </row>
    <row r="505" spans="1:1" x14ac:dyDescent="0.25">
      <c r="A505" s="38">
        <v>505</v>
      </c>
    </row>
    <row r="506" spans="1:1" x14ac:dyDescent="0.25">
      <c r="A506" s="38">
        <v>506</v>
      </c>
    </row>
    <row r="507" spans="1:1" x14ac:dyDescent="0.25">
      <c r="A507" s="38">
        <v>507</v>
      </c>
    </row>
    <row r="508" spans="1:1" x14ac:dyDescent="0.25">
      <c r="A508" s="38">
        <v>508</v>
      </c>
    </row>
    <row r="509" spans="1:1" x14ac:dyDescent="0.25">
      <c r="A509" s="38">
        <v>509</v>
      </c>
    </row>
    <row r="510" spans="1:1" x14ac:dyDescent="0.25">
      <c r="A510" s="38">
        <v>510</v>
      </c>
    </row>
    <row r="511" spans="1:1" x14ac:dyDescent="0.25">
      <c r="A511" s="38">
        <v>511</v>
      </c>
    </row>
    <row r="512" spans="1:1" x14ac:dyDescent="0.25">
      <c r="A512" s="38">
        <v>512</v>
      </c>
    </row>
    <row r="513" spans="1:1" x14ac:dyDescent="0.25">
      <c r="A513" s="38">
        <v>513</v>
      </c>
    </row>
    <row r="514" spans="1:1" x14ac:dyDescent="0.25">
      <c r="A514" s="38">
        <v>514</v>
      </c>
    </row>
    <row r="515" spans="1:1" x14ac:dyDescent="0.25">
      <c r="A515" s="38">
        <v>515</v>
      </c>
    </row>
    <row r="516" spans="1:1" x14ac:dyDescent="0.25">
      <c r="A516" s="38">
        <v>516</v>
      </c>
    </row>
    <row r="517" spans="1:1" x14ac:dyDescent="0.25">
      <c r="A517" s="38">
        <v>517</v>
      </c>
    </row>
    <row r="518" spans="1:1" x14ac:dyDescent="0.25">
      <c r="A518" s="38">
        <v>518</v>
      </c>
    </row>
    <row r="519" spans="1:1" x14ac:dyDescent="0.25">
      <c r="A519" s="38">
        <v>519</v>
      </c>
    </row>
    <row r="520" spans="1:1" x14ac:dyDescent="0.25">
      <c r="A520" s="38">
        <v>520</v>
      </c>
    </row>
    <row r="521" spans="1:1" x14ac:dyDescent="0.25">
      <c r="A521" s="38">
        <v>521</v>
      </c>
    </row>
    <row r="522" spans="1:1" x14ac:dyDescent="0.25">
      <c r="A522" s="38">
        <v>522</v>
      </c>
    </row>
    <row r="523" spans="1:1" x14ac:dyDescent="0.25">
      <c r="A523" s="38">
        <v>523</v>
      </c>
    </row>
    <row r="524" spans="1:1" x14ac:dyDescent="0.25">
      <c r="A524" s="38">
        <v>524</v>
      </c>
    </row>
    <row r="525" spans="1:1" x14ac:dyDescent="0.25">
      <c r="A525" s="38">
        <v>525</v>
      </c>
    </row>
    <row r="526" spans="1:1" x14ac:dyDescent="0.25">
      <c r="A526" s="38">
        <v>526</v>
      </c>
    </row>
    <row r="527" spans="1:1" x14ac:dyDescent="0.25">
      <c r="A527" s="38">
        <v>527</v>
      </c>
    </row>
    <row r="528" spans="1:1" x14ac:dyDescent="0.25">
      <c r="A528" s="38">
        <v>528</v>
      </c>
    </row>
    <row r="529" spans="1:1" x14ac:dyDescent="0.25">
      <c r="A529" s="38">
        <v>529</v>
      </c>
    </row>
    <row r="530" spans="1:1" x14ac:dyDescent="0.25">
      <c r="A530" s="38">
        <v>530</v>
      </c>
    </row>
    <row r="531" spans="1:1" x14ac:dyDescent="0.25">
      <c r="A531" s="38">
        <v>531</v>
      </c>
    </row>
    <row r="532" spans="1:1" x14ac:dyDescent="0.25">
      <c r="A532" s="38">
        <v>532</v>
      </c>
    </row>
    <row r="533" spans="1:1" x14ac:dyDescent="0.25">
      <c r="A533" s="38">
        <v>533</v>
      </c>
    </row>
    <row r="534" spans="1:1" x14ac:dyDescent="0.25">
      <c r="A534" s="38">
        <v>534</v>
      </c>
    </row>
    <row r="535" spans="1:1" x14ac:dyDescent="0.25">
      <c r="A535" s="38">
        <v>535</v>
      </c>
    </row>
    <row r="536" spans="1:1" x14ac:dyDescent="0.25">
      <c r="A536" s="38">
        <v>536</v>
      </c>
    </row>
    <row r="537" spans="1:1" x14ac:dyDescent="0.25">
      <c r="A537" s="38">
        <v>537</v>
      </c>
    </row>
    <row r="538" spans="1:1" x14ac:dyDescent="0.25">
      <c r="A538" s="38">
        <v>538</v>
      </c>
    </row>
    <row r="539" spans="1:1" x14ac:dyDescent="0.25">
      <c r="A539" s="38">
        <v>539</v>
      </c>
    </row>
    <row r="540" spans="1:1" x14ac:dyDescent="0.25">
      <c r="A540" s="38">
        <v>540</v>
      </c>
    </row>
    <row r="541" spans="1:1" x14ac:dyDescent="0.25">
      <c r="A541" s="38">
        <v>541</v>
      </c>
    </row>
    <row r="542" spans="1:1" x14ac:dyDescent="0.25">
      <c r="A542" s="38">
        <v>542</v>
      </c>
    </row>
    <row r="543" spans="1:1" x14ac:dyDescent="0.25">
      <c r="A543" s="38">
        <v>543</v>
      </c>
    </row>
    <row r="544" spans="1:1" x14ac:dyDescent="0.25">
      <c r="A544" s="38">
        <v>544</v>
      </c>
    </row>
    <row r="545" spans="1:1" x14ac:dyDescent="0.25">
      <c r="A545" s="38">
        <v>545</v>
      </c>
    </row>
    <row r="546" spans="1:1" x14ac:dyDescent="0.25">
      <c r="A546" s="38">
        <v>546</v>
      </c>
    </row>
    <row r="547" spans="1:1" x14ac:dyDescent="0.25">
      <c r="A547" s="38">
        <v>547</v>
      </c>
    </row>
    <row r="548" spans="1:1" x14ac:dyDescent="0.25">
      <c r="A548" s="38">
        <v>548</v>
      </c>
    </row>
    <row r="549" spans="1:1" x14ac:dyDescent="0.25">
      <c r="A549" s="38">
        <v>549</v>
      </c>
    </row>
    <row r="550" spans="1:1" x14ac:dyDescent="0.25">
      <c r="A550" s="38">
        <v>550</v>
      </c>
    </row>
    <row r="551" spans="1:1" x14ac:dyDescent="0.25">
      <c r="A551" s="38">
        <v>551</v>
      </c>
    </row>
    <row r="552" spans="1:1" x14ac:dyDescent="0.25">
      <c r="A552" s="38">
        <v>552</v>
      </c>
    </row>
    <row r="553" spans="1:1" x14ac:dyDescent="0.25">
      <c r="A553" s="38">
        <v>553</v>
      </c>
    </row>
    <row r="554" spans="1:1" x14ac:dyDescent="0.25">
      <c r="A554" s="38">
        <v>554</v>
      </c>
    </row>
    <row r="555" spans="1:1" x14ac:dyDescent="0.25">
      <c r="A555" s="38">
        <v>555</v>
      </c>
    </row>
    <row r="556" spans="1:1" x14ac:dyDescent="0.25">
      <c r="A556" s="38">
        <v>556</v>
      </c>
    </row>
    <row r="557" spans="1:1" x14ac:dyDescent="0.25">
      <c r="A557" s="38">
        <v>557</v>
      </c>
    </row>
    <row r="558" spans="1:1" x14ac:dyDescent="0.25">
      <c r="A558" s="38">
        <v>558</v>
      </c>
    </row>
    <row r="559" spans="1:1" x14ac:dyDescent="0.25">
      <c r="A559" s="38">
        <v>559</v>
      </c>
    </row>
    <row r="560" spans="1:1" x14ac:dyDescent="0.25">
      <c r="A560" s="38">
        <v>560</v>
      </c>
    </row>
    <row r="561" spans="1:1" x14ac:dyDescent="0.25">
      <c r="A561" s="38">
        <v>561</v>
      </c>
    </row>
    <row r="562" spans="1:1" x14ac:dyDescent="0.25">
      <c r="A562" s="38">
        <v>562</v>
      </c>
    </row>
    <row r="563" spans="1:1" x14ac:dyDescent="0.25">
      <c r="A563" s="38">
        <v>563</v>
      </c>
    </row>
    <row r="564" spans="1:1" x14ac:dyDescent="0.25">
      <c r="A564" s="38">
        <v>564</v>
      </c>
    </row>
    <row r="565" spans="1:1" x14ac:dyDescent="0.25">
      <c r="A565" s="38">
        <v>565</v>
      </c>
    </row>
    <row r="566" spans="1:1" x14ac:dyDescent="0.25">
      <c r="A566" s="38">
        <v>566</v>
      </c>
    </row>
    <row r="567" spans="1:1" x14ac:dyDescent="0.25">
      <c r="A567" s="38">
        <v>567</v>
      </c>
    </row>
    <row r="568" spans="1:1" x14ac:dyDescent="0.25">
      <c r="A568" s="38">
        <v>568</v>
      </c>
    </row>
    <row r="569" spans="1:1" x14ac:dyDescent="0.25">
      <c r="A569" s="38">
        <v>569</v>
      </c>
    </row>
    <row r="570" spans="1:1" x14ac:dyDescent="0.25">
      <c r="A570" s="38">
        <v>570</v>
      </c>
    </row>
    <row r="571" spans="1:1" x14ac:dyDescent="0.25">
      <c r="A571" s="38">
        <v>571</v>
      </c>
    </row>
    <row r="572" spans="1:1" x14ac:dyDescent="0.25">
      <c r="A572" s="38">
        <v>572</v>
      </c>
    </row>
    <row r="573" spans="1:1" x14ac:dyDescent="0.25">
      <c r="A573" s="38">
        <v>573</v>
      </c>
    </row>
    <row r="574" spans="1:1" x14ac:dyDescent="0.25">
      <c r="A574" s="38">
        <v>574</v>
      </c>
    </row>
    <row r="575" spans="1:1" x14ac:dyDescent="0.25">
      <c r="A575" s="38">
        <v>575</v>
      </c>
    </row>
    <row r="576" spans="1:1" x14ac:dyDescent="0.25">
      <c r="A576" s="38">
        <v>576</v>
      </c>
    </row>
    <row r="577" spans="1:1" x14ac:dyDescent="0.25">
      <c r="A577" s="38">
        <v>577</v>
      </c>
    </row>
    <row r="578" spans="1:1" x14ac:dyDescent="0.25">
      <c r="A578" s="38">
        <v>578</v>
      </c>
    </row>
    <row r="579" spans="1:1" x14ac:dyDescent="0.25">
      <c r="A579" s="38">
        <v>579</v>
      </c>
    </row>
    <row r="580" spans="1:1" x14ac:dyDescent="0.25">
      <c r="A580" s="38">
        <v>580</v>
      </c>
    </row>
    <row r="581" spans="1:1" x14ac:dyDescent="0.25">
      <c r="A581" s="38">
        <v>581</v>
      </c>
    </row>
    <row r="582" spans="1:1" x14ac:dyDescent="0.25">
      <c r="A582" s="38">
        <v>582</v>
      </c>
    </row>
    <row r="583" spans="1:1" x14ac:dyDescent="0.25">
      <c r="A583" s="38">
        <v>583</v>
      </c>
    </row>
    <row r="584" spans="1:1" x14ac:dyDescent="0.25">
      <c r="A584" s="38">
        <v>584</v>
      </c>
    </row>
    <row r="585" spans="1:1" x14ac:dyDescent="0.25">
      <c r="A585" s="38">
        <v>585</v>
      </c>
    </row>
    <row r="586" spans="1:1" x14ac:dyDescent="0.25">
      <c r="A586" s="38">
        <v>586</v>
      </c>
    </row>
    <row r="587" spans="1:1" x14ac:dyDescent="0.25">
      <c r="A587" s="38">
        <v>587</v>
      </c>
    </row>
    <row r="588" spans="1:1" x14ac:dyDescent="0.25">
      <c r="A588" s="38">
        <v>588</v>
      </c>
    </row>
    <row r="589" spans="1:1" x14ac:dyDescent="0.25">
      <c r="A589" s="38">
        <v>589</v>
      </c>
    </row>
    <row r="590" spans="1:1" x14ac:dyDescent="0.25">
      <c r="A590" s="38">
        <v>590</v>
      </c>
    </row>
    <row r="591" spans="1:1" x14ac:dyDescent="0.25">
      <c r="A591" s="38">
        <v>591</v>
      </c>
    </row>
    <row r="592" spans="1:1" x14ac:dyDescent="0.25">
      <c r="A592" s="38">
        <v>592</v>
      </c>
    </row>
    <row r="593" spans="1:1" x14ac:dyDescent="0.25">
      <c r="A593" s="38">
        <v>593</v>
      </c>
    </row>
    <row r="594" spans="1:1" x14ac:dyDescent="0.25">
      <c r="A594" s="38">
        <v>594</v>
      </c>
    </row>
    <row r="595" spans="1:1" x14ac:dyDescent="0.25">
      <c r="A595" s="38">
        <v>595</v>
      </c>
    </row>
    <row r="596" spans="1:1" x14ac:dyDescent="0.25">
      <c r="A596" s="38">
        <v>596</v>
      </c>
    </row>
    <row r="597" spans="1:1" x14ac:dyDescent="0.25">
      <c r="A597" s="38">
        <v>597</v>
      </c>
    </row>
    <row r="598" spans="1:1" x14ac:dyDescent="0.25">
      <c r="A598" s="38">
        <v>598</v>
      </c>
    </row>
    <row r="599" spans="1:1" x14ac:dyDescent="0.25">
      <c r="A599" s="38">
        <v>599</v>
      </c>
    </row>
    <row r="600" spans="1:1" x14ac:dyDescent="0.25">
      <c r="A600" s="38">
        <v>600</v>
      </c>
    </row>
    <row r="601" spans="1:1" x14ac:dyDescent="0.25">
      <c r="A601" s="38">
        <v>601</v>
      </c>
    </row>
    <row r="602" spans="1:1" x14ac:dyDescent="0.25">
      <c r="A602" s="38">
        <v>602</v>
      </c>
    </row>
    <row r="603" spans="1:1" x14ac:dyDescent="0.25">
      <c r="A603" s="38">
        <v>603</v>
      </c>
    </row>
    <row r="604" spans="1:1" x14ac:dyDescent="0.25">
      <c r="A604" s="38">
        <v>604</v>
      </c>
    </row>
    <row r="605" spans="1:1" x14ac:dyDescent="0.25">
      <c r="A605" s="38">
        <v>605</v>
      </c>
    </row>
    <row r="606" spans="1:1" x14ac:dyDescent="0.25">
      <c r="A606" s="38">
        <v>606</v>
      </c>
    </row>
    <row r="607" spans="1:1" x14ac:dyDescent="0.25">
      <c r="A607" s="38">
        <v>607</v>
      </c>
    </row>
    <row r="608" spans="1:1" x14ac:dyDescent="0.25">
      <c r="A608" s="38">
        <v>608</v>
      </c>
    </row>
    <row r="609" spans="1:1" x14ac:dyDescent="0.25">
      <c r="A609" s="38">
        <v>609</v>
      </c>
    </row>
    <row r="610" spans="1:1" x14ac:dyDescent="0.25">
      <c r="A610" s="38">
        <v>610</v>
      </c>
    </row>
    <row r="611" spans="1:1" x14ac:dyDescent="0.25">
      <c r="A611" s="38">
        <v>611</v>
      </c>
    </row>
    <row r="612" spans="1:1" x14ac:dyDescent="0.25">
      <c r="A612" s="38">
        <v>612</v>
      </c>
    </row>
    <row r="613" spans="1:1" x14ac:dyDescent="0.25">
      <c r="A613" s="38">
        <v>613</v>
      </c>
    </row>
    <row r="614" spans="1:1" x14ac:dyDescent="0.25">
      <c r="A614" s="38">
        <v>614</v>
      </c>
    </row>
    <row r="615" spans="1:1" x14ac:dyDescent="0.25">
      <c r="A615" s="38">
        <v>615</v>
      </c>
    </row>
    <row r="616" spans="1:1" x14ac:dyDescent="0.25">
      <c r="A616" s="38">
        <v>616</v>
      </c>
    </row>
    <row r="617" spans="1:1" x14ac:dyDescent="0.25">
      <c r="A617" s="38">
        <v>617</v>
      </c>
    </row>
    <row r="618" spans="1:1" x14ac:dyDescent="0.25">
      <c r="A618" s="38">
        <v>618</v>
      </c>
    </row>
    <row r="619" spans="1:1" x14ac:dyDescent="0.25">
      <c r="A619" s="38">
        <v>619</v>
      </c>
    </row>
    <row r="620" spans="1:1" x14ac:dyDescent="0.25">
      <c r="A620" s="38">
        <v>620</v>
      </c>
    </row>
    <row r="621" spans="1:1" x14ac:dyDescent="0.25">
      <c r="A621" s="38">
        <v>621</v>
      </c>
    </row>
    <row r="622" spans="1:1" x14ac:dyDescent="0.25">
      <c r="A622" s="38">
        <v>622</v>
      </c>
    </row>
    <row r="623" spans="1:1" x14ac:dyDescent="0.25">
      <c r="A623" s="38">
        <v>623</v>
      </c>
    </row>
    <row r="624" spans="1:1" x14ac:dyDescent="0.25">
      <c r="A624" s="38">
        <v>624</v>
      </c>
    </row>
    <row r="625" spans="1:1" x14ac:dyDescent="0.25">
      <c r="A625" s="38">
        <v>625</v>
      </c>
    </row>
    <row r="626" spans="1:1" x14ac:dyDescent="0.25">
      <c r="A626" s="38">
        <v>626</v>
      </c>
    </row>
    <row r="627" spans="1:1" x14ac:dyDescent="0.25">
      <c r="A627" s="38">
        <v>627</v>
      </c>
    </row>
    <row r="628" spans="1:1" x14ac:dyDescent="0.25">
      <c r="A628" s="38">
        <v>628</v>
      </c>
    </row>
    <row r="629" spans="1:1" x14ac:dyDescent="0.25">
      <c r="A629" s="38">
        <v>629</v>
      </c>
    </row>
    <row r="630" spans="1:1" x14ac:dyDescent="0.25">
      <c r="A630" s="38">
        <v>630</v>
      </c>
    </row>
    <row r="631" spans="1:1" x14ac:dyDescent="0.25">
      <c r="A631" s="38">
        <v>631</v>
      </c>
    </row>
    <row r="632" spans="1:1" x14ac:dyDescent="0.25">
      <c r="A632" s="38">
        <v>632</v>
      </c>
    </row>
    <row r="633" spans="1:1" x14ac:dyDescent="0.25">
      <c r="A633" s="38">
        <v>633</v>
      </c>
    </row>
    <row r="634" spans="1:1" x14ac:dyDescent="0.25">
      <c r="A634" s="38">
        <v>634</v>
      </c>
    </row>
    <row r="635" spans="1:1" x14ac:dyDescent="0.25">
      <c r="A635" s="38">
        <v>635</v>
      </c>
    </row>
    <row r="636" spans="1:1" x14ac:dyDescent="0.25">
      <c r="A636" s="38">
        <v>636</v>
      </c>
    </row>
    <row r="637" spans="1:1" x14ac:dyDescent="0.25">
      <c r="A637" s="38">
        <v>637</v>
      </c>
    </row>
    <row r="638" spans="1:1" x14ac:dyDescent="0.25">
      <c r="A638" s="38">
        <v>638</v>
      </c>
    </row>
    <row r="639" spans="1:1" x14ac:dyDescent="0.25">
      <c r="A639" s="38">
        <v>639</v>
      </c>
    </row>
    <row r="640" spans="1:1" x14ac:dyDescent="0.25">
      <c r="A640" s="38">
        <v>640</v>
      </c>
    </row>
    <row r="641" spans="1:1" x14ac:dyDescent="0.25">
      <c r="A641" s="38">
        <v>641</v>
      </c>
    </row>
    <row r="642" spans="1:1" x14ac:dyDescent="0.25">
      <c r="A642" s="38">
        <v>642</v>
      </c>
    </row>
    <row r="643" spans="1:1" x14ac:dyDescent="0.25">
      <c r="A643" s="38">
        <v>643</v>
      </c>
    </row>
    <row r="644" spans="1:1" x14ac:dyDescent="0.25">
      <c r="A644" s="38">
        <v>644</v>
      </c>
    </row>
    <row r="645" spans="1:1" x14ac:dyDescent="0.25">
      <c r="A645" s="38">
        <v>645</v>
      </c>
    </row>
    <row r="646" spans="1:1" x14ac:dyDescent="0.25">
      <c r="A646" s="38">
        <v>646</v>
      </c>
    </row>
    <row r="647" spans="1:1" x14ac:dyDescent="0.25">
      <c r="A647" s="38">
        <v>647</v>
      </c>
    </row>
    <row r="648" spans="1:1" x14ac:dyDescent="0.25">
      <c r="A648" s="38">
        <v>648</v>
      </c>
    </row>
    <row r="649" spans="1:1" x14ac:dyDescent="0.25">
      <c r="A649" s="38">
        <v>649</v>
      </c>
    </row>
    <row r="650" spans="1:1" x14ac:dyDescent="0.25">
      <c r="A650" s="38">
        <v>650</v>
      </c>
    </row>
    <row r="651" spans="1:1" x14ac:dyDescent="0.25">
      <c r="A651" s="38">
        <v>651</v>
      </c>
    </row>
    <row r="652" spans="1:1" x14ac:dyDescent="0.25">
      <c r="A652" s="38">
        <v>652</v>
      </c>
    </row>
    <row r="653" spans="1:1" x14ac:dyDescent="0.25">
      <c r="A653" s="38">
        <v>653</v>
      </c>
    </row>
    <row r="654" spans="1:1" x14ac:dyDescent="0.25">
      <c r="A654" s="38">
        <v>654</v>
      </c>
    </row>
    <row r="655" spans="1:1" x14ac:dyDescent="0.25">
      <c r="A655" s="38">
        <v>655</v>
      </c>
    </row>
    <row r="656" spans="1:1" x14ac:dyDescent="0.25">
      <c r="A656" s="38">
        <v>656</v>
      </c>
    </row>
    <row r="657" spans="1:1" x14ac:dyDescent="0.25">
      <c r="A657" s="38">
        <v>657</v>
      </c>
    </row>
    <row r="658" spans="1:1" x14ac:dyDescent="0.25">
      <c r="A658" s="38">
        <v>658</v>
      </c>
    </row>
    <row r="659" spans="1:1" x14ac:dyDescent="0.25">
      <c r="A659" s="38">
        <v>659</v>
      </c>
    </row>
    <row r="660" spans="1:1" x14ac:dyDescent="0.25">
      <c r="A660" s="38">
        <v>660</v>
      </c>
    </row>
    <row r="661" spans="1:1" x14ac:dyDescent="0.25">
      <c r="A661" s="38">
        <v>661</v>
      </c>
    </row>
    <row r="662" spans="1:1" x14ac:dyDescent="0.25">
      <c r="A662" s="38">
        <v>662</v>
      </c>
    </row>
    <row r="663" spans="1:1" x14ac:dyDescent="0.25">
      <c r="A663" s="38">
        <v>663</v>
      </c>
    </row>
    <row r="664" spans="1:1" x14ac:dyDescent="0.25">
      <c r="A664" s="38">
        <v>664</v>
      </c>
    </row>
    <row r="665" spans="1:1" x14ac:dyDescent="0.25">
      <c r="A665" s="38">
        <v>665</v>
      </c>
    </row>
    <row r="666" spans="1:1" x14ac:dyDescent="0.25">
      <c r="A666" s="38">
        <v>666</v>
      </c>
    </row>
    <row r="667" spans="1:1" x14ac:dyDescent="0.25">
      <c r="A667" s="38">
        <v>667</v>
      </c>
    </row>
    <row r="668" spans="1:1" x14ac:dyDescent="0.25">
      <c r="A668" s="38">
        <v>668</v>
      </c>
    </row>
    <row r="669" spans="1:1" x14ac:dyDescent="0.25">
      <c r="A669" s="38">
        <v>669</v>
      </c>
    </row>
    <row r="670" spans="1:1" x14ac:dyDescent="0.25">
      <c r="A670" s="38">
        <v>670</v>
      </c>
    </row>
    <row r="671" spans="1:1" x14ac:dyDescent="0.25">
      <c r="A671" s="38">
        <v>671</v>
      </c>
    </row>
    <row r="672" spans="1:1" x14ac:dyDescent="0.25">
      <c r="A672" s="38">
        <v>672</v>
      </c>
    </row>
    <row r="673" spans="1:1" x14ac:dyDescent="0.25">
      <c r="A673" s="38">
        <v>673</v>
      </c>
    </row>
    <row r="674" spans="1:1" x14ac:dyDescent="0.25">
      <c r="A674" s="38">
        <v>674</v>
      </c>
    </row>
    <row r="675" spans="1:1" x14ac:dyDescent="0.25">
      <c r="A675" s="38">
        <v>675</v>
      </c>
    </row>
    <row r="676" spans="1:1" x14ac:dyDescent="0.25">
      <c r="A676" s="38">
        <v>676</v>
      </c>
    </row>
    <row r="677" spans="1:1" x14ac:dyDescent="0.25">
      <c r="A677" s="38">
        <v>677</v>
      </c>
    </row>
    <row r="678" spans="1:1" x14ac:dyDescent="0.25">
      <c r="A678" s="38">
        <v>678</v>
      </c>
    </row>
    <row r="679" spans="1:1" x14ac:dyDescent="0.25">
      <c r="A679" s="38">
        <v>679</v>
      </c>
    </row>
    <row r="680" spans="1:1" x14ac:dyDescent="0.25">
      <c r="A680" s="38">
        <v>680</v>
      </c>
    </row>
    <row r="681" spans="1:1" x14ac:dyDescent="0.25">
      <c r="A681" s="38">
        <v>681</v>
      </c>
    </row>
    <row r="682" spans="1:1" x14ac:dyDescent="0.25">
      <c r="A682" s="38">
        <v>682</v>
      </c>
    </row>
    <row r="683" spans="1:1" x14ac:dyDescent="0.25">
      <c r="A683" s="38">
        <v>683</v>
      </c>
    </row>
    <row r="684" spans="1:1" x14ac:dyDescent="0.25">
      <c r="A684" s="38">
        <v>684</v>
      </c>
    </row>
    <row r="685" spans="1:1" x14ac:dyDescent="0.25">
      <c r="A685" s="38">
        <v>685</v>
      </c>
    </row>
    <row r="686" spans="1:1" x14ac:dyDescent="0.25">
      <c r="A686" s="38">
        <v>686</v>
      </c>
    </row>
    <row r="687" spans="1:1" x14ac:dyDescent="0.25">
      <c r="A687" s="38">
        <v>687</v>
      </c>
    </row>
    <row r="688" spans="1:1" x14ac:dyDescent="0.25">
      <c r="A688" s="38">
        <v>688</v>
      </c>
    </row>
    <row r="689" spans="1:1" x14ac:dyDescent="0.25">
      <c r="A689" s="38">
        <v>689</v>
      </c>
    </row>
    <row r="690" spans="1:1" x14ac:dyDescent="0.25">
      <c r="A690" s="38">
        <v>690</v>
      </c>
    </row>
    <row r="691" spans="1:1" x14ac:dyDescent="0.25">
      <c r="A691" s="38">
        <v>691</v>
      </c>
    </row>
    <row r="692" spans="1:1" x14ac:dyDescent="0.25">
      <c r="A692" s="38">
        <v>692</v>
      </c>
    </row>
    <row r="693" spans="1:1" x14ac:dyDescent="0.25">
      <c r="A693" s="38">
        <v>693</v>
      </c>
    </row>
    <row r="694" spans="1:1" x14ac:dyDescent="0.25">
      <c r="A694" s="38">
        <v>694</v>
      </c>
    </row>
    <row r="695" spans="1:1" x14ac:dyDescent="0.25">
      <c r="A695" s="38">
        <v>695</v>
      </c>
    </row>
    <row r="696" spans="1:1" x14ac:dyDescent="0.25">
      <c r="A696" s="38">
        <v>696</v>
      </c>
    </row>
    <row r="697" spans="1:1" x14ac:dyDescent="0.25">
      <c r="A697" s="38">
        <v>697</v>
      </c>
    </row>
    <row r="698" spans="1:1" x14ac:dyDescent="0.25">
      <c r="A698" s="38">
        <v>698</v>
      </c>
    </row>
    <row r="699" spans="1:1" x14ac:dyDescent="0.25">
      <c r="A699" s="38">
        <v>699</v>
      </c>
    </row>
    <row r="700" spans="1:1" x14ac:dyDescent="0.25">
      <c r="A700" s="38">
        <v>700</v>
      </c>
    </row>
    <row r="701" spans="1:1" x14ac:dyDescent="0.25">
      <c r="A701" s="38">
        <v>701</v>
      </c>
    </row>
    <row r="702" spans="1:1" x14ac:dyDescent="0.25">
      <c r="A702" s="38">
        <v>702</v>
      </c>
    </row>
    <row r="703" spans="1:1" x14ac:dyDescent="0.25">
      <c r="A703" s="38">
        <v>703</v>
      </c>
    </row>
    <row r="704" spans="1:1" x14ac:dyDescent="0.25">
      <c r="A704" s="38">
        <v>704</v>
      </c>
    </row>
    <row r="705" spans="1:1" x14ac:dyDescent="0.25">
      <c r="A705" s="38">
        <v>705</v>
      </c>
    </row>
    <row r="706" spans="1:1" x14ac:dyDescent="0.25">
      <c r="A706" s="38">
        <v>706</v>
      </c>
    </row>
    <row r="707" spans="1:1" x14ac:dyDescent="0.25">
      <c r="A707" s="38">
        <v>707</v>
      </c>
    </row>
    <row r="708" spans="1:1" x14ac:dyDescent="0.25">
      <c r="A708" s="38">
        <v>708</v>
      </c>
    </row>
    <row r="709" spans="1:1" x14ac:dyDescent="0.25">
      <c r="A709" s="38">
        <v>709</v>
      </c>
    </row>
    <row r="710" spans="1:1" x14ac:dyDescent="0.25">
      <c r="A710" s="38">
        <v>710</v>
      </c>
    </row>
    <row r="711" spans="1:1" x14ac:dyDescent="0.25">
      <c r="A711" s="38">
        <v>711</v>
      </c>
    </row>
    <row r="712" spans="1:1" x14ac:dyDescent="0.25">
      <c r="A712" s="38">
        <v>712</v>
      </c>
    </row>
    <row r="713" spans="1:1" x14ac:dyDescent="0.25">
      <c r="A713" s="38">
        <v>713</v>
      </c>
    </row>
    <row r="714" spans="1:1" x14ac:dyDescent="0.25">
      <c r="A714" s="38">
        <v>714</v>
      </c>
    </row>
    <row r="715" spans="1:1" x14ac:dyDescent="0.25">
      <c r="A715" s="38">
        <v>715</v>
      </c>
    </row>
    <row r="716" spans="1:1" x14ac:dyDescent="0.25">
      <c r="A716" s="38">
        <v>716</v>
      </c>
    </row>
    <row r="717" spans="1:1" x14ac:dyDescent="0.25">
      <c r="A717" s="38">
        <v>717</v>
      </c>
    </row>
    <row r="718" spans="1:1" x14ac:dyDescent="0.25">
      <c r="A718" s="38">
        <v>718</v>
      </c>
    </row>
    <row r="719" spans="1:1" x14ac:dyDescent="0.25">
      <c r="A719" s="38">
        <v>719</v>
      </c>
    </row>
    <row r="720" spans="1:1" x14ac:dyDescent="0.25">
      <c r="A720" s="38">
        <v>720</v>
      </c>
    </row>
    <row r="721" spans="1:1" x14ac:dyDescent="0.25">
      <c r="A721" s="38">
        <v>721</v>
      </c>
    </row>
    <row r="722" spans="1:1" x14ac:dyDescent="0.25">
      <c r="A722" s="38">
        <v>722</v>
      </c>
    </row>
    <row r="723" spans="1:1" x14ac:dyDescent="0.25">
      <c r="A723" s="38">
        <v>723</v>
      </c>
    </row>
    <row r="724" spans="1:1" x14ac:dyDescent="0.25">
      <c r="A724" s="38">
        <v>724</v>
      </c>
    </row>
    <row r="725" spans="1:1" x14ac:dyDescent="0.25">
      <c r="A725" s="38">
        <v>725</v>
      </c>
    </row>
    <row r="726" spans="1:1" x14ac:dyDescent="0.25">
      <c r="A726" s="38">
        <v>726</v>
      </c>
    </row>
    <row r="727" spans="1:1" x14ac:dyDescent="0.25">
      <c r="A727" s="38">
        <v>727</v>
      </c>
    </row>
    <row r="728" spans="1:1" x14ac:dyDescent="0.25">
      <c r="A728" s="38">
        <v>728</v>
      </c>
    </row>
    <row r="729" spans="1:1" x14ac:dyDescent="0.25">
      <c r="A729" s="38">
        <v>729</v>
      </c>
    </row>
    <row r="730" spans="1:1" x14ac:dyDescent="0.25">
      <c r="A730" s="38">
        <v>730</v>
      </c>
    </row>
    <row r="731" spans="1:1" x14ac:dyDescent="0.25">
      <c r="A731" s="38">
        <v>731</v>
      </c>
    </row>
    <row r="732" spans="1:1" x14ac:dyDescent="0.25">
      <c r="A732" s="38">
        <v>732</v>
      </c>
    </row>
    <row r="733" spans="1:1" x14ac:dyDescent="0.25">
      <c r="A733" s="38">
        <v>733</v>
      </c>
    </row>
    <row r="734" spans="1:1" x14ac:dyDescent="0.25">
      <c r="A734" s="38">
        <v>734</v>
      </c>
    </row>
    <row r="735" spans="1:1" x14ac:dyDescent="0.25">
      <c r="A735" s="38">
        <v>735</v>
      </c>
    </row>
    <row r="736" spans="1:1" x14ac:dyDescent="0.25">
      <c r="A736" s="38">
        <v>736</v>
      </c>
    </row>
    <row r="737" spans="1:1" x14ac:dyDescent="0.25">
      <c r="A737" s="38">
        <v>737</v>
      </c>
    </row>
    <row r="738" spans="1:1" x14ac:dyDescent="0.25">
      <c r="A738" s="38">
        <v>738</v>
      </c>
    </row>
    <row r="739" spans="1:1" x14ac:dyDescent="0.25">
      <c r="A739" s="38">
        <v>739</v>
      </c>
    </row>
    <row r="740" spans="1:1" x14ac:dyDescent="0.25">
      <c r="A740" s="38">
        <v>740</v>
      </c>
    </row>
    <row r="741" spans="1:1" x14ac:dyDescent="0.25">
      <c r="A741" s="38">
        <v>741</v>
      </c>
    </row>
    <row r="742" spans="1:1" x14ac:dyDescent="0.25">
      <c r="A742" s="38">
        <v>742</v>
      </c>
    </row>
    <row r="743" spans="1:1" x14ac:dyDescent="0.25">
      <c r="A743" s="38">
        <v>743</v>
      </c>
    </row>
    <row r="744" spans="1:1" x14ac:dyDescent="0.25">
      <c r="A744" s="38">
        <v>744</v>
      </c>
    </row>
    <row r="745" spans="1:1" x14ac:dyDescent="0.25">
      <c r="A745" s="38">
        <v>745</v>
      </c>
    </row>
    <row r="746" spans="1:1" x14ac:dyDescent="0.25">
      <c r="A746" s="38">
        <v>746</v>
      </c>
    </row>
    <row r="747" spans="1:1" x14ac:dyDescent="0.25">
      <c r="A747" s="38">
        <v>747</v>
      </c>
    </row>
    <row r="748" spans="1:1" x14ac:dyDescent="0.25">
      <c r="A748" s="38">
        <v>748</v>
      </c>
    </row>
    <row r="749" spans="1:1" x14ac:dyDescent="0.25">
      <c r="A749" s="38">
        <v>749</v>
      </c>
    </row>
    <row r="750" spans="1:1" x14ac:dyDescent="0.25">
      <c r="A750" s="38">
        <v>750</v>
      </c>
    </row>
    <row r="751" spans="1:1" x14ac:dyDescent="0.25">
      <c r="A751" s="38">
        <v>751</v>
      </c>
    </row>
    <row r="752" spans="1:1" x14ac:dyDescent="0.25">
      <c r="A752" s="38">
        <v>752</v>
      </c>
    </row>
    <row r="753" spans="1:1" x14ac:dyDescent="0.25">
      <c r="A753" s="38">
        <v>753</v>
      </c>
    </row>
    <row r="754" spans="1:1" x14ac:dyDescent="0.25">
      <c r="A754" s="38">
        <v>754</v>
      </c>
    </row>
    <row r="755" spans="1:1" x14ac:dyDescent="0.25">
      <c r="A755" s="38">
        <v>755</v>
      </c>
    </row>
    <row r="756" spans="1:1" x14ac:dyDescent="0.25">
      <c r="A756" s="38">
        <v>756</v>
      </c>
    </row>
    <row r="757" spans="1:1" x14ac:dyDescent="0.25">
      <c r="A757" s="38">
        <v>757</v>
      </c>
    </row>
    <row r="758" spans="1:1" x14ac:dyDescent="0.25">
      <c r="A758" s="38">
        <v>758</v>
      </c>
    </row>
    <row r="759" spans="1:1" x14ac:dyDescent="0.25">
      <c r="A759" s="38">
        <v>759</v>
      </c>
    </row>
    <row r="760" spans="1:1" x14ac:dyDescent="0.25">
      <c r="A760" s="38">
        <v>760</v>
      </c>
    </row>
    <row r="761" spans="1:1" x14ac:dyDescent="0.25">
      <c r="A761" s="38">
        <v>761</v>
      </c>
    </row>
    <row r="762" spans="1:1" x14ac:dyDescent="0.25">
      <c r="A762" s="38">
        <v>762</v>
      </c>
    </row>
    <row r="763" spans="1:1" x14ac:dyDescent="0.25">
      <c r="A763" s="38">
        <v>763</v>
      </c>
    </row>
    <row r="764" spans="1:1" x14ac:dyDescent="0.25">
      <c r="A764" s="38">
        <v>764</v>
      </c>
    </row>
    <row r="765" spans="1:1" x14ac:dyDescent="0.25">
      <c r="A765" s="38">
        <v>765</v>
      </c>
    </row>
    <row r="766" spans="1:1" x14ac:dyDescent="0.25">
      <c r="A766" s="38">
        <v>766</v>
      </c>
    </row>
    <row r="767" spans="1:1" x14ac:dyDescent="0.25">
      <c r="A767" s="38">
        <v>767</v>
      </c>
    </row>
    <row r="768" spans="1:1" x14ac:dyDescent="0.25">
      <c r="A768" s="38">
        <v>768</v>
      </c>
    </row>
    <row r="769" spans="1:1" x14ac:dyDescent="0.25">
      <c r="A769" s="38">
        <v>769</v>
      </c>
    </row>
    <row r="770" spans="1:1" x14ac:dyDescent="0.25">
      <c r="A770" s="38">
        <v>770</v>
      </c>
    </row>
    <row r="771" spans="1:1" x14ac:dyDescent="0.25">
      <c r="A771" s="38">
        <v>771</v>
      </c>
    </row>
    <row r="772" spans="1:1" x14ac:dyDescent="0.25">
      <c r="A772" s="38">
        <v>772</v>
      </c>
    </row>
    <row r="773" spans="1:1" x14ac:dyDescent="0.25">
      <c r="A773" s="38">
        <v>773</v>
      </c>
    </row>
    <row r="774" spans="1:1" x14ac:dyDescent="0.25">
      <c r="A774" s="38">
        <v>774</v>
      </c>
    </row>
    <row r="775" spans="1:1" x14ac:dyDescent="0.25">
      <c r="A775" s="38">
        <v>775</v>
      </c>
    </row>
    <row r="776" spans="1:1" x14ac:dyDescent="0.25">
      <c r="A776" s="38">
        <v>776</v>
      </c>
    </row>
    <row r="777" spans="1:1" x14ac:dyDescent="0.25">
      <c r="A777" s="38">
        <v>777</v>
      </c>
    </row>
    <row r="778" spans="1:1" x14ac:dyDescent="0.25">
      <c r="A778" s="38">
        <v>778</v>
      </c>
    </row>
    <row r="779" spans="1:1" x14ac:dyDescent="0.25">
      <c r="A779" s="38">
        <v>779</v>
      </c>
    </row>
    <row r="780" spans="1:1" x14ac:dyDescent="0.25">
      <c r="A780" s="38">
        <v>780</v>
      </c>
    </row>
    <row r="781" spans="1:1" x14ac:dyDescent="0.25">
      <c r="A781" s="38">
        <v>781</v>
      </c>
    </row>
    <row r="782" spans="1:1" x14ac:dyDescent="0.25">
      <c r="A782" s="38">
        <v>782</v>
      </c>
    </row>
    <row r="783" spans="1:1" x14ac:dyDescent="0.25">
      <c r="A783" s="38">
        <v>783</v>
      </c>
    </row>
    <row r="784" spans="1:1" x14ac:dyDescent="0.25">
      <c r="A784" s="38">
        <v>784</v>
      </c>
    </row>
    <row r="785" spans="1:1" x14ac:dyDescent="0.25">
      <c r="A785" s="38">
        <v>785</v>
      </c>
    </row>
    <row r="786" spans="1:1" x14ac:dyDescent="0.25">
      <c r="A786" s="38">
        <v>786</v>
      </c>
    </row>
    <row r="787" spans="1:1" x14ac:dyDescent="0.25">
      <c r="A787" s="38">
        <v>787</v>
      </c>
    </row>
    <row r="788" spans="1:1" x14ac:dyDescent="0.25">
      <c r="A788" s="38">
        <v>788</v>
      </c>
    </row>
    <row r="789" spans="1:1" x14ac:dyDescent="0.25">
      <c r="A789" s="38">
        <v>789</v>
      </c>
    </row>
    <row r="790" spans="1:1" x14ac:dyDescent="0.25">
      <c r="A790" s="38">
        <v>790</v>
      </c>
    </row>
    <row r="791" spans="1:1" x14ac:dyDescent="0.25">
      <c r="A791" s="38">
        <v>791</v>
      </c>
    </row>
    <row r="792" spans="1:1" x14ac:dyDescent="0.25">
      <c r="A792" s="38">
        <v>792</v>
      </c>
    </row>
    <row r="793" spans="1:1" x14ac:dyDescent="0.25">
      <c r="A793" s="38">
        <v>793</v>
      </c>
    </row>
    <row r="794" spans="1:1" x14ac:dyDescent="0.25">
      <c r="A794" s="38">
        <v>794</v>
      </c>
    </row>
    <row r="795" spans="1:1" x14ac:dyDescent="0.25">
      <c r="A795" s="38">
        <v>795</v>
      </c>
    </row>
    <row r="796" spans="1:1" x14ac:dyDescent="0.25">
      <c r="A796" s="38">
        <v>796</v>
      </c>
    </row>
    <row r="797" spans="1:1" x14ac:dyDescent="0.25">
      <c r="A797" s="38">
        <v>797</v>
      </c>
    </row>
    <row r="798" spans="1:1" x14ac:dyDescent="0.25">
      <c r="A798" s="38">
        <v>798</v>
      </c>
    </row>
    <row r="799" spans="1:1" x14ac:dyDescent="0.25">
      <c r="A799" s="38">
        <v>799</v>
      </c>
    </row>
    <row r="800" spans="1:1" x14ac:dyDescent="0.25">
      <c r="A800" s="38">
        <v>800</v>
      </c>
    </row>
    <row r="801" spans="1:1" x14ac:dyDescent="0.25">
      <c r="A801" s="38">
        <v>801</v>
      </c>
    </row>
    <row r="802" spans="1:1" x14ac:dyDescent="0.25">
      <c r="A802" s="38">
        <v>802</v>
      </c>
    </row>
    <row r="803" spans="1:1" x14ac:dyDescent="0.25">
      <c r="A803" s="38">
        <v>803</v>
      </c>
    </row>
    <row r="804" spans="1:1" x14ac:dyDescent="0.25">
      <c r="A804" s="38">
        <v>804</v>
      </c>
    </row>
    <row r="805" spans="1:1" x14ac:dyDescent="0.25">
      <c r="A805" s="38">
        <v>805</v>
      </c>
    </row>
    <row r="806" spans="1:1" x14ac:dyDescent="0.25">
      <c r="A806" s="38">
        <v>806</v>
      </c>
    </row>
    <row r="807" spans="1:1" x14ac:dyDescent="0.25">
      <c r="A807" s="38">
        <v>807</v>
      </c>
    </row>
    <row r="808" spans="1:1" x14ac:dyDescent="0.25">
      <c r="A808" s="38">
        <v>808</v>
      </c>
    </row>
    <row r="809" spans="1:1" x14ac:dyDescent="0.25">
      <c r="A809" s="38">
        <v>809</v>
      </c>
    </row>
    <row r="810" spans="1:1" x14ac:dyDescent="0.25">
      <c r="A810" s="38">
        <v>810</v>
      </c>
    </row>
    <row r="811" spans="1:1" x14ac:dyDescent="0.25">
      <c r="A811" s="38">
        <v>811</v>
      </c>
    </row>
    <row r="812" spans="1:1" x14ac:dyDescent="0.25">
      <c r="A812" s="38">
        <v>812</v>
      </c>
    </row>
    <row r="813" spans="1:1" x14ac:dyDescent="0.25">
      <c r="A813" s="38">
        <v>813</v>
      </c>
    </row>
    <row r="814" spans="1:1" x14ac:dyDescent="0.25">
      <c r="A814" s="38">
        <v>814</v>
      </c>
    </row>
    <row r="815" spans="1:1" x14ac:dyDescent="0.25">
      <c r="A815" s="38">
        <v>815</v>
      </c>
    </row>
    <row r="816" spans="1:1" x14ac:dyDescent="0.25">
      <c r="A816" s="38">
        <v>816</v>
      </c>
    </row>
    <row r="817" spans="1:1" x14ac:dyDescent="0.25">
      <c r="A817" s="38">
        <v>817</v>
      </c>
    </row>
    <row r="818" spans="1:1" x14ac:dyDescent="0.25">
      <c r="A818" s="38">
        <v>818</v>
      </c>
    </row>
    <row r="819" spans="1:1" x14ac:dyDescent="0.25">
      <c r="A819" s="38">
        <v>819</v>
      </c>
    </row>
    <row r="820" spans="1:1" x14ac:dyDescent="0.25">
      <c r="A820" s="38">
        <v>820</v>
      </c>
    </row>
    <row r="821" spans="1:1" x14ac:dyDescent="0.25">
      <c r="A821" s="38">
        <v>821</v>
      </c>
    </row>
    <row r="822" spans="1:1" x14ac:dyDescent="0.25">
      <c r="A822" s="38">
        <v>822</v>
      </c>
    </row>
    <row r="823" spans="1:1" x14ac:dyDescent="0.25">
      <c r="A823" s="38">
        <v>823</v>
      </c>
    </row>
    <row r="824" spans="1:1" x14ac:dyDescent="0.25">
      <c r="A824" s="38">
        <v>824</v>
      </c>
    </row>
    <row r="825" spans="1:1" x14ac:dyDescent="0.25">
      <c r="A825" s="38">
        <v>825</v>
      </c>
    </row>
    <row r="826" spans="1:1" x14ac:dyDescent="0.25">
      <c r="A826" s="38">
        <v>826</v>
      </c>
    </row>
    <row r="827" spans="1:1" x14ac:dyDescent="0.25">
      <c r="A827" s="38">
        <v>827</v>
      </c>
    </row>
    <row r="828" spans="1:1" x14ac:dyDescent="0.25">
      <c r="A828" s="38">
        <v>828</v>
      </c>
    </row>
    <row r="829" spans="1:1" x14ac:dyDescent="0.25">
      <c r="A829" s="38">
        <v>829</v>
      </c>
    </row>
    <row r="830" spans="1:1" x14ac:dyDescent="0.25">
      <c r="A830" s="38">
        <v>830</v>
      </c>
    </row>
    <row r="831" spans="1:1" x14ac:dyDescent="0.25">
      <c r="A831" s="38">
        <v>831</v>
      </c>
    </row>
    <row r="832" spans="1:1" x14ac:dyDescent="0.25">
      <c r="A832" s="38">
        <v>832</v>
      </c>
    </row>
    <row r="833" spans="1:1" x14ac:dyDescent="0.25">
      <c r="A833" s="38">
        <v>833</v>
      </c>
    </row>
    <row r="834" spans="1:1" x14ac:dyDescent="0.25">
      <c r="A834" s="38">
        <v>834</v>
      </c>
    </row>
    <row r="835" spans="1:1" x14ac:dyDescent="0.25">
      <c r="A835" s="38">
        <v>835</v>
      </c>
    </row>
    <row r="836" spans="1:1" x14ac:dyDescent="0.25">
      <c r="A836" s="38">
        <v>836</v>
      </c>
    </row>
    <row r="837" spans="1:1" x14ac:dyDescent="0.25">
      <c r="A837" s="38">
        <v>837</v>
      </c>
    </row>
    <row r="838" spans="1:1" x14ac:dyDescent="0.25">
      <c r="A838" s="38">
        <v>838</v>
      </c>
    </row>
    <row r="839" spans="1:1" x14ac:dyDescent="0.25">
      <c r="A839" s="38">
        <v>839</v>
      </c>
    </row>
    <row r="840" spans="1:1" x14ac:dyDescent="0.25">
      <c r="A840" s="38">
        <v>840</v>
      </c>
    </row>
    <row r="841" spans="1:1" x14ac:dyDescent="0.25">
      <c r="A841" s="38">
        <v>841</v>
      </c>
    </row>
    <row r="842" spans="1:1" x14ac:dyDescent="0.25">
      <c r="A842" s="38">
        <v>842</v>
      </c>
    </row>
    <row r="843" spans="1:1" x14ac:dyDescent="0.25">
      <c r="A843" s="38">
        <v>843</v>
      </c>
    </row>
    <row r="844" spans="1:1" x14ac:dyDescent="0.25">
      <c r="A844" s="38">
        <v>844</v>
      </c>
    </row>
    <row r="845" spans="1:1" x14ac:dyDescent="0.25">
      <c r="A845" s="38">
        <v>845</v>
      </c>
    </row>
    <row r="846" spans="1:1" x14ac:dyDescent="0.25">
      <c r="A846" s="38">
        <v>846</v>
      </c>
    </row>
    <row r="847" spans="1:1" x14ac:dyDescent="0.25">
      <c r="A847" s="38">
        <v>847</v>
      </c>
    </row>
    <row r="848" spans="1:1" x14ac:dyDescent="0.25">
      <c r="A848" s="38">
        <v>848</v>
      </c>
    </row>
    <row r="849" spans="1:1" x14ac:dyDescent="0.25">
      <c r="A849" s="38">
        <v>849</v>
      </c>
    </row>
    <row r="850" spans="1:1" x14ac:dyDescent="0.25">
      <c r="A850" s="38">
        <v>850</v>
      </c>
    </row>
    <row r="851" spans="1:1" x14ac:dyDescent="0.25">
      <c r="A851" s="38">
        <v>851</v>
      </c>
    </row>
    <row r="852" spans="1:1" x14ac:dyDescent="0.25">
      <c r="A852" s="38">
        <v>852</v>
      </c>
    </row>
    <row r="853" spans="1:1" x14ac:dyDescent="0.25">
      <c r="A853" s="38">
        <v>853</v>
      </c>
    </row>
    <row r="854" spans="1:1" x14ac:dyDescent="0.25">
      <c r="A854" s="38">
        <v>854</v>
      </c>
    </row>
    <row r="855" spans="1:1" x14ac:dyDescent="0.25">
      <c r="A855" s="38">
        <v>855</v>
      </c>
    </row>
    <row r="856" spans="1:1" x14ac:dyDescent="0.25">
      <c r="A856" s="38">
        <v>856</v>
      </c>
    </row>
    <row r="857" spans="1:1" x14ac:dyDescent="0.25">
      <c r="A857" s="38">
        <v>857</v>
      </c>
    </row>
    <row r="858" spans="1:1" x14ac:dyDescent="0.25">
      <c r="A858" s="38">
        <v>858</v>
      </c>
    </row>
    <row r="859" spans="1:1" x14ac:dyDescent="0.25">
      <c r="A859" s="38">
        <v>859</v>
      </c>
    </row>
    <row r="860" spans="1:1" x14ac:dyDescent="0.25">
      <c r="A860" s="38">
        <v>860</v>
      </c>
    </row>
    <row r="861" spans="1:1" x14ac:dyDescent="0.25">
      <c r="A861" s="38">
        <v>861</v>
      </c>
    </row>
    <row r="862" spans="1:1" x14ac:dyDescent="0.25">
      <c r="A862" s="38">
        <v>862</v>
      </c>
    </row>
    <row r="863" spans="1:1" x14ac:dyDescent="0.25">
      <c r="A863" s="38">
        <v>863</v>
      </c>
    </row>
    <row r="864" spans="1:1" x14ac:dyDescent="0.25">
      <c r="A864" s="38">
        <v>864</v>
      </c>
    </row>
    <row r="865" spans="1:1" x14ac:dyDescent="0.25">
      <c r="A865" s="38">
        <v>865</v>
      </c>
    </row>
    <row r="866" spans="1:1" x14ac:dyDescent="0.25">
      <c r="A866" s="38">
        <v>866</v>
      </c>
    </row>
    <row r="867" spans="1:1" x14ac:dyDescent="0.25">
      <c r="A867" s="38">
        <v>867</v>
      </c>
    </row>
    <row r="868" spans="1:1" x14ac:dyDescent="0.25">
      <c r="A868" s="38">
        <v>868</v>
      </c>
    </row>
    <row r="869" spans="1:1" x14ac:dyDescent="0.25">
      <c r="A869" s="38">
        <v>869</v>
      </c>
    </row>
    <row r="870" spans="1:1" x14ac:dyDescent="0.25">
      <c r="A870" s="38">
        <v>870</v>
      </c>
    </row>
    <row r="871" spans="1:1" x14ac:dyDescent="0.25">
      <c r="A871" s="38">
        <v>871</v>
      </c>
    </row>
    <row r="872" spans="1:1" x14ac:dyDescent="0.25">
      <c r="A872" s="38">
        <v>872</v>
      </c>
    </row>
    <row r="873" spans="1:1" x14ac:dyDescent="0.25">
      <c r="A873" s="38">
        <v>873</v>
      </c>
    </row>
    <row r="874" spans="1:1" x14ac:dyDescent="0.25">
      <c r="A874" s="38">
        <v>874</v>
      </c>
    </row>
    <row r="875" spans="1:1" x14ac:dyDescent="0.25">
      <c r="A875" s="38">
        <v>875</v>
      </c>
    </row>
    <row r="876" spans="1:1" x14ac:dyDescent="0.25">
      <c r="A876" s="38">
        <v>876</v>
      </c>
    </row>
    <row r="877" spans="1:1" x14ac:dyDescent="0.25">
      <c r="A877" s="38">
        <v>877</v>
      </c>
    </row>
    <row r="878" spans="1:1" x14ac:dyDescent="0.25">
      <c r="A878" s="38">
        <v>878</v>
      </c>
    </row>
    <row r="879" spans="1:1" x14ac:dyDescent="0.25">
      <c r="A879" s="38">
        <v>879</v>
      </c>
    </row>
    <row r="880" spans="1:1" x14ac:dyDescent="0.25">
      <c r="A880" s="38">
        <v>880</v>
      </c>
    </row>
    <row r="881" spans="1:1" x14ac:dyDescent="0.25">
      <c r="A881" s="38">
        <v>881</v>
      </c>
    </row>
    <row r="882" spans="1:1" x14ac:dyDescent="0.25">
      <c r="A882" s="38">
        <v>882</v>
      </c>
    </row>
    <row r="883" spans="1:1" x14ac:dyDescent="0.25">
      <c r="A883" s="38">
        <v>883</v>
      </c>
    </row>
    <row r="884" spans="1:1" x14ac:dyDescent="0.25">
      <c r="A884" s="38">
        <v>884</v>
      </c>
    </row>
    <row r="885" spans="1:1" x14ac:dyDescent="0.25">
      <c r="A885" s="38">
        <v>885</v>
      </c>
    </row>
    <row r="886" spans="1:1" x14ac:dyDescent="0.25">
      <c r="A886" s="38">
        <v>886</v>
      </c>
    </row>
    <row r="887" spans="1:1" x14ac:dyDescent="0.25">
      <c r="A887" s="38">
        <v>887</v>
      </c>
    </row>
    <row r="888" spans="1:1" x14ac:dyDescent="0.25">
      <c r="A888" s="38">
        <v>888</v>
      </c>
    </row>
    <row r="889" spans="1:1" x14ac:dyDescent="0.25">
      <c r="A889" s="38">
        <v>889</v>
      </c>
    </row>
    <row r="890" spans="1:1" x14ac:dyDescent="0.25">
      <c r="A890" s="38">
        <v>890</v>
      </c>
    </row>
    <row r="891" spans="1:1" x14ac:dyDescent="0.25">
      <c r="A891" s="38">
        <v>891</v>
      </c>
    </row>
    <row r="892" spans="1:1" x14ac:dyDescent="0.25">
      <c r="A892" s="38">
        <v>892</v>
      </c>
    </row>
    <row r="893" spans="1:1" x14ac:dyDescent="0.25">
      <c r="A893" s="38">
        <v>893</v>
      </c>
    </row>
    <row r="894" spans="1:1" x14ac:dyDescent="0.25">
      <c r="A894" s="38">
        <v>894</v>
      </c>
    </row>
    <row r="895" spans="1:1" x14ac:dyDescent="0.25">
      <c r="A895" s="38">
        <v>895</v>
      </c>
    </row>
    <row r="896" spans="1:1" x14ac:dyDescent="0.25">
      <c r="A896" s="38">
        <v>896</v>
      </c>
    </row>
    <row r="897" spans="1:1" x14ac:dyDescent="0.25">
      <c r="A897" s="38">
        <v>897</v>
      </c>
    </row>
    <row r="898" spans="1:1" x14ac:dyDescent="0.25">
      <c r="A898" s="38">
        <v>898</v>
      </c>
    </row>
    <row r="899" spans="1:1" x14ac:dyDescent="0.25">
      <c r="A899" s="38">
        <v>899</v>
      </c>
    </row>
    <row r="900" spans="1:1" x14ac:dyDescent="0.25">
      <c r="A900" s="38">
        <v>900</v>
      </c>
    </row>
    <row r="901" spans="1:1" x14ac:dyDescent="0.25">
      <c r="A901" s="38">
        <v>901</v>
      </c>
    </row>
    <row r="902" spans="1:1" x14ac:dyDescent="0.25">
      <c r="A902" s="38">
        <v>902</v>
      </c>
    </row>
    <row r="903" spans="1:1" x14ac:dyDescent="0.25">
      <c r="A903" s="38">
        <v>903</v>
      </c>
    </row>
    <row r="904" spans="1:1" x14ac:dyDescent="0.25">
      <c r="A904" s="38">
        <v>904</v>
      </c>
    </row>
    <row r="905" spans="1:1" x14ac:dyDescent="0.25">
      <c r="A905" s="38">
        <v>905</v>
      </c>
    </row>
    <row r="906" spans="1:1" x14ac:dyDescent="0.25">
      <c r="A906" s="38">
        <v>906</v>
      </c>
    </row>
    <row r="907" spans="1:1" x14ac:dyDescent="0.25">
      <c r="A907" s="38">
        <v>907</v>
      </c>
    </row>
    <row r="908" spans="1:1" x14ac:dyDescent="0.25">
      <c r="A908" s="38">
        <v>908</v>
      </c>
    </row>
    <row r="909" spans="1:1" x14ac:dyDescent="0.25">
      <c r="A909" s="38">
        <v>909</v>
      </c>
    </row>
    <row r="910" spans="1:1" x14ac:dyDescent="0.25">
      <c r="A910" s="38">
        <v>910</v>
      </c>
    </row>
    <row r="911" spans="1:1" x14ac:dyDescent="0.25">
      <c r="A911" s="38">
        <v>911</v>
      </c>
    </row>
    <row r="912" spans="1:1" x14ac:dyDescent="0.25">
      <c r="A912" s="38">
        <v>912</v>
      </c>
    </row>
    <row r="913" spans="1:1" x14ac:dyDescent="0.25">
      <c r="A913" s="38">
        <v>913</v>
      </c>
    </row>
    <row r="914" spans="1:1" x14ac:dyDescent="0.25">
      <c r="A914" s="38">
        <v>914</v>
      </c>
    </row>
    <row r="915" spans="1:1" x14ac:dyDescent="0.25">
      <c r="A915" s="38">
        <v>915</v>
      </c>
    </row>
    <row r="916" spans="1:1" x14ac:dyDescent="0.25">
      <c r="A916" s="38">
        <v>916</v>
      </c>
    </row>
    <row r="917" spans="1:1" x14ac:dyDescent="0.25">
      <c r="A917" s="38">
        <v>917</v>
      </c>
    </row>
    <row r="918" spans="1:1" x14ac:dyDescent="0.25">
      <c r="A918" s="38">
        <v>918</v>
      </c>
    </row>
    <row r="919" spans="1:1" x14ac:dyDescent="0.25">
      <c r="A919" s="38">
        <v>919</v>
      </c>
    </row>
    <row r="920" spans="1:1" x14ac:dyDescent="0.25">
      <c r="A920" s="38">
        <v>920</v>
      </c>
    </row>
    <row r="921" spans="1:1" x14ac:dyDescent="0.25">
      <c r="A921" s="38">
        <v>921</v>
      </c>
    </row>
    <row r="922" spans="1:1" x14ac:dyDescent="0.25">
      <c r="A922" s="38">
        <v>922</v>
      </c>
    </row>
    <row r="923" spans="1:1" x14ac:dyDescent="0.25">
      <c r="A923" s="38">
        <v>923</v>
      </c>
    </row>
    <row r="924" spans="1:1" x14ac:dyDescent="0.25">
      <c r="A924" s="38">
        <v>924</v>
      </c>
    </row>
    <row r="925" spans="1:1" x14ac:dyDescent="0.25">
      <c r="A925" s="38">
        <v>925</v>
      </c>
    </row>
    <row r="926" spans="1:1" x14ac:dyDescent="0.25">
      <c r="A926" s="38">
        <v>926</v>
      </c>
    </row>
    <row r="927" spans="1:1" x14ac:dyDescent="0.25">
      <c r="A927" s="38">
        <v>927</v>
      </c>
    </row>
    <row r="928" spans="1:1" x14ac:dyDescent="0.25">
      <c r="A928" s="38">
        <v>928</v>
      </c>
    </row>
    <row r="929" spans="1:1" x14ac:dyDescent="0.25">
      <c r="A929" s="38">
        <v>929</v>
      </c>
    </row>
    <row r="930" spans="1:1" x14ac:dyDescent="0.25">
      <c r="A930" s="38">
        <v>930</v>
      </c>
    </row>
    <row r="931" spans="1:1" x14ac:dyDescent="0.25">
      <c r="A931" s="38">
        <v>931</v>
      </c>
    </row>
    <row r="932" spans="1:1" x14ac:dyDescent="0.25">
      <c r="A932" s="38">
        <v>932</v>
      </c>
    </row>
    <row r="933" spans="1:1" x14ac:dyDescent="0.25">
      <c r="A933" s="38">
        <v>933</v>
      </c>
    </row>
    <row r="934" spans="1:1" x14ac:dyDescent="0.25">
      <c r="A934" s="38">
        <v>934</v>
      </c>
    </row>
    <row r="935" spans="1:1" x14ac:dyDescent="0.25">
      <c r="A935" s="38">
        <v>935</v>
      </c>
    </row>
    <row r="936" spans="1:1" x14ac:dyDescent="0.25">
      <c r="A936" s="38">
        <v>936</v>
      </c>
    </row>
    <row r="937" spans="1:1" x14ac:dyDescent="0.25">
      <c r="A937" s="38">
        <v>937</v>
      </c>
    </row>
    <row r="938" spans="1:1" x14ac:dyDescent="0.25">
      <c r="A938" s="38">
        <v>938</v>
      </c>
    </row>
    <row r="939" spans="1:1" x14ac:dyDescent="0.25">
      <c r="A939" s="38">
        <v>939</v>
      </c>
    </row>
    <row r="940" spans="1:1" x14ac:dyDescent="0.25">
      <c r="A940" s="38">
        <v>940</v>
      </c>
    </row>
    <row r="941" spans="1:1" x14ac:dyDescent="0.25">
      <c r="A941" s="38">
        <v>941</v>
      </c>
    </row>
    <row r="942" spans="1:1" x14ac:dyDescent="0.25">
      <c r="A942" s="38">
        <v>942</v>
      </c>
    </row>
    <row r="943" spans="1:1" x14ac:dyDescent="0.25">
      <c r="A943" s="38">
        <v>943</v>
      </c>
    </row>
    <row r="944" spans="1:1" x14ac:dyDescent="0.25">
      <c r="A944" s="38">
        <v>944</v>
      </c>
    </row>
    <row r="945" spans="1:1" x14ac:dyDescent="0.25">
      <c r="A945" s="38">
        <v>945</v>
      </c>
    </row>
    <row r="946" spans="1:1" x14ac:dyDescent="0.25">
      <c r="A946" s="38">
        <v>946</v>
      </c>
    </row>
    <row r="947" spans="1:1" x14ac:dyDescent="0.25">
      <c r="A947" s="38">
        <v>947</v>
      </c>
    </row>
    <row r="948" spans="1:1" x14ac:dyDescent="0.25">
      <c r="A948" s="38">
        <v>948</v>
      </c>
    </row>
    <row r="949" spans="1:1" x14ac:dyDescent="0.25">
      <c r="A949" s="38">
        <v>949</v>
      </c>
    </row>
    <row r="950" spans="1:1" x14ac:dyDescent="0.25">
      <c r="A950" s="38">
        <v>950</v>
      </c>
    </row>
    <row r="951" spans="1:1" x14ac:dyDescent="0.25">
      <c r="A951" s="38">
        <v>951</v>
      </c>
    </row>
    <row r="952" spans="1:1" x14ac:dyDescent="0.25">
      <c r="A952" s="38">
        <v>952</v>
      </c>
    </row>
    <row r="953" spans="1:1" x14ac:dyDescent="0.25">
      <c r="A953" s="38">
        <v>953</v>
      </c>
    </row>
    <row r="954" spans="1:1" x14ac:dyDescent="0.25">
      <c r="A954" s="38">
        <v>954</v>
      </c>
    </row>
    <row r="955" spans="1:1" x14ac:dyDescent="0.25">
      <c r="A955" s="38">
        <v>955</v>
      </c>
    </row>
    <row r="956" spans="1:1" x14ac:dyDescent="0.25">
      <c r="A956" s="38">
        <v>956</v>
      </c>
    </row>
    <row r="957" spans="1:1" x14ac:dyDescent="0.25">
      <c r="A957" s="38">
        <v>957</v>
      </c>
    </row>
    <row r="958" spans="1:1" x14ac:dyDescent="0.25">
      <c r="A958" s="38">
        <v>958</v>
      </c>
    </row>
    <row r="959" spans="1:1" x14ac:dyDescent="0.25">
      <c r="A959" s="38">
        <v>959</v>
      </c>
    </row>
    <row r="960" spans="1:1" x14ac:dyDescent="0.25">
      <c r="A960" s="38">
        <v>960</v>
      </c>
    </row>
    <row r="961" spans="1:1" x14ac:dyDescent="0.25">
      <c r="A961" s="38">
        <v>961</v>
      </c>
    </row>
    <row r="962" spans="1:1" x14ac:dyDescent="0.25">
      <c r="A962" s="38">
        <v>962</v>
      </c>
    </row>
    <row r="963" spans="1:1" x14ac:dyDescent="0.25">
      <c r="A963" s="38">
        <v>963</v>
      </c>
    </row>
    <row r="964" spans="1:1" x14ac:dyDescent="0.25">
      <c r="A964" s="38">
        <v>964</v>
      </c>
    </row>
    <row r="965" spans="1:1" x14ac:dyDescent="0.25">
      <c r="A965" s="38">
        <v>965</v>
      </c>
    </row>
    <row r="966" spans="1:1" x14ac:dyDescent="0.25">
      <c r="A966" s="38">
        <v>966</v>
      </c>
    </row>
    <row r="967" spans="1:1" x14ac:dyDescent="0.25">
      <c r="A967" s="38">
        <v>967</v>
      </c>
    </row>
    <row r="968" spans="1:1" x14ac:dyDescent="0.25">
      <c r="A968" s="38">
        <v>968</v>
      </c>
    </row>
    <row r="969" spans="1:1" x14ac:dyDescent="0.25">
      <c r="A969" s="38">
        <v>969</v>
      </c>
    </row>
    <row r="970" spans="1:1" x14ac:dyDescent="0.25">
      <c r="A970" s="38">
        <v>970</v>
      </c>
    </row>
    <row r="971" spans="1:1" x14ac:dyDescent="0.25">
      <c r="A971" s="38">
        <v>971</v>
      </c>
    </row>
    <row r="972" spans="1:1" x14ac:dyDescent="0.25">
      <c r="A972" s="38">
        <v>972</v>
      </c>
    </row>
    <row r="973" spans="1:1" x14ac:dyDescent="0.25">
      <c r="A973" s="38">
        <v>973</v>
      </c>
    </row>
    <row r="974" spans="1:1" x14ac:dyDescent="0.25">
      <c r="A974" s="38">
        <v>974</v>
      </c>
    </row>
    <row r="975" spans="1:1" x14ac:dyDescent="0.25">
      <c r="A975" s="38">
        <v>975</v>
      </c>
    </row>
    <row r="976" spans="1:1" x14ac:dyDescent="0.25">
      <c r="A976" s="38">
        <v>976</v>
      </c>
    </row>
    <row r="977" spans="1:1" x14ac:dyDescent="0.25">
      <c r="A977" s="38">
        <v>977</v>
      </c>
    </row>
    <row r="978" spans="1:1" x14ac:dyDescent="0.25">
      <c r="A978" s="38">
        <v>978</v>
      </c>
    </row>
    <row r="979" spans="1:1" x14ac:dyDescent="0.25">
      <c r="A979" s="38">
        <v>979</v>
      </c>
    </row>
    <row r="980" spans="1:1" x14ac:dyDescent="0.25">
      <c r="A980" s="38">
        <v>980</v>
      </c>
    </row>
    <row r="981" spans="1:1" x14ac:dyDescent="0.25">
      <c r="A981" s="38">
        <v>981</v>
      </c>
    </row>
    <row r="982" spans="1:1" x14ac:dyDescent="0.25">
      <c r="A982" s="38">
        <v>982</v>
      </c>
    </row>
    <row r="983" spans="1:1" x14ac:dyDescent="0.25">
      <c r="A983" s="38">
        <v>983</v>
      </c>
    </row>
    <row r="984" spans="1:1" x14ac:dyDescent="0.25">
      <c r="A984" s="38">
        <v>984</v>
      </c>
    </row>
    <row r="985" spans="1:1" x14ac:dyDescent="0.25">
      <c r="A985" s="38">
        <v>985</v>
      </c>
    </row>
    <row r="986" spans="1:1" x14ac:dyDescent="0.25">
      <c r="A986" s="38">
        <v>986</v>
      </c>
    </row>
    <row r="987" spans="1:1" x14ac:dyDescent="0.25">
      <c r="A987" s="38">
        <v>987</v>
      </c>
    </row>
    <row r="988" spans="1:1" x14ac:dyDescent="0.25">
      <c r="A988" s="38">
        <v>988</v>
      </c>
    </row>
    <row r="989" spans="1:1" x14ac:dyDescent="0.25">
      <c r="A989" s="38">
        <v>989</v>
      </c>
    </row>
    <row r="990" spans="1:1" x14ac:dyDescent="0.25">
      <c r="A990" s="38">
        <v>990</v>
      </c>
    </row>
    <row r="991" spans="1:1" x14ac:dyDescent="0.25">
      <c r="A991" s="38">
        <v>991</v>
      </c>
    </row>
    <row r="992" spans="1:1" x14ac:dyDescent="0.25">
      <c r="A992" s="38">
        <v>992</v>
      </c>
    </row>
    <row r="993" spans="1:1" x14ac:dyDescent="0.25">
      <c r="A993" s="38">
        <v>993</v>
      </c>
    </row>
    <row r="994" spans="1:1" x14ac:dyDescent="0.25">
      <c r="A994" s="38">
        <v>994</v>
      </c>
    </row>
    <row r="995" spans="1:1" x14ac:dyDescent="0.25">
      <c r="A995" s="38">
        <v>995</v>
      </c>
    </row>
    <row r="996" spans="1:1" x14ac:dyDescent="0.25">
      <c r="A996" s="38">
        <v>996</v>
      </c>
    </row>
    <row r="997" spans="1:1" x14ac:dyDescent="0.25">
      <c r="A997" s="38">
        <v>997</v>
      </c>
    </row>
    <row r="998" spans="1:1" x14ac:dyDescent="0.25">
      <c r="A998" s="38">
        <v>998</v>
      </c>
    </row>
    <row r="999" spans="1:1" x14ac:dyDescent="0.25">
      <c r="A999" s="38">
        <v>999</v>
      </c>
    </row>
    <row r="1000" spans="1:1" x14ac:dyDescent="0.25">
      <c r="A1000" s="38">
        <v>1000</v>
      </c>
    </row>
    <row r="1001" spans="1:1" x14ac:dyDescent="0.25">
      <c r="A1001" s="38">
        <v>1001</v>
      </c>
    </row>
    <row r="1002" spans="1:1" x14ac:dyDescent="0.25">
      <c r="A1002" s="38">
        <v>1002</v>
      </c>
    </row>
    <row r="1003" spans="1:1" x14ac:dyDescent="0.25">
      <c r="A1003" s="38">
        <v>1003</v>
      </c>
    </row>
    <row r="1004" spans="1:1" x14ac:dyDescent="0.25">
      <c r="A1004" s="38">
        <v>1004</v>
      </c>
    </row>
    <row r="1005" spans="1:1" x14ac:dyDescent="0.25">
      <c r="A1005" s="38">
        <v>1005</v>
      </c>
    </row>
    <row r="1006" spans="1:1" x14ac:dyDescent="0.25">
      <c r="A1006" s="38">
        <v>1006</v>
      </c>
    </row>
    <row r="1007" spans="1:1" x14ac:dyDescent="0.25">
      <c r="A1007" s="38">
        <v>1007</v>
      </c>
    </row>
    <row r="1008" spans="1:1" x14ac:dyDescent="0.25">
      <c r="A1008" s="38">
        <v>1008</v>
      </c>
    </row>
    <row r="1009" spans="1:1" x14ac:dyDescent="0.25">
      <c r="A1009" s="38">
        <v>1009</v>
      </c>
    </row>
    <row r="1010" spans="1:1" x14ac:dyDescent="0.25">
      <c r="A1010" s="38">
        <v>1010</v>
      </c>
    </row>
    <row r="1011" spans="1:1" x14ac:dyDescent="0.25">
      <c r="A1011" s="38">
        <v>1011</v>
      </c>
    </row>
    <row r="1012" spans="1:1" x14ac:dyDescent="0.25">
      <c r="A1012" s="38">
        <v>1012</v>
      </c>
    </row>
    <row r="1013" spans="1:1" x14ac:dyDescent="0.25">
      <c r="A1013" s="38">
        <v>1013</v>
      </c>
    </row>
    <row r="1014" spans="1:1" x14ac:dyDescent="0.25">
      <c r="A1014" s="38">
        <v>1014</v>
      </c>
    </row>
    <row r="1015" spans="1:1" x14ac:dyDescent="0.25">
      <c r="A1015" s="38">
        <v>1015</v>
      </c>
    </row>
    <row r="1016" spans="1:1" x14ac:dyDescent="0.25">
      <c r="A1016" s="38">
        <v>1016</v>
      </c>
    </row>
    <row r="1017" spans="1:1" x14ac:dyDescent="0.25">
      <c r="A1017" s="38">
        <v>1017</v>
      </c>
    </row>
    <row r="1018" spans="1:1" x14ac:dyDescent="0.25">
      <c r="A1018" s="38">
        <v>1018</v>
      </c>
    </row>
    <row r="1019" spans="1:1" x14ac:dyDescent="0.25">
      <c r="A1019" s="38">
        <v>1019</v>
      </c>
    </row>
    <row r="1020" spans="1:1" x14ac:dyDescent="0.25">
      <c r="A1020" s="38">
        <v>1020</v>
      </c>
    </row>
    <row r="1021" spans="1:1" x14ac:dyDescent="0.25">
      <c r="A1021" s="38">
        <v>1021</v>
      </c>
    </row>
    <row r="1022" spans="1:1" x14ac:dyDescent="0.25">
      <c r="A1022" s="38">
        <v>1022</v>
      </c>
    </row>
    <row r="1023" spans="1:1" x14ac:dyDescent="0.25">
      <c r="A1023" s="38">
        <v>1023</v>
      </c>
    </row>
    <row r="1024" spans="1:1" x14ac:dyDescent="0.25">
      <c r="A1024" s="38">
        <v>1024</v>
      </c>
    </row>
    <row r="1025" spans="1:1" x14ac:dyDescent="0.25">
      <c r="A1025" s="38">
        <v>1025</v>
      </c>
    </row>
    <row r="1026" spans="1:1" x14ac:dyDescent="0.25">
      <c r="A1026" s="38">
        <v>1026</v>
      </c>
    </row>
    <row r="1027" spans="1:1" x14ac:dyDescent="0.25">
      <c r="A1027" s="38">
        <v>1027</v>
      </c>
    </row>
    <row r="1028" spans="1:1" x14ac:dyDescent="0.25">
      <c r="A1028" s="38">
        <v>1028</v>
      </c>
    </row>
    <row r="1029" spans="1:1" x14ac:dyDescent="0.25">
      <c r="A1029" s="38">
        <v>1029</v>
      </c>
    </row>
    <row r="1030" spans="1:1" x14ac:dyDescent="0.25">
      <c r="A1030" s="38">
        <v>1030</v>
      </c>
    </row>
    <row r="1031" spans="1:1" x14ac:dyDescent="0.25">
      <c r="A1031" s="38">
        <v>1031</v>
      </c>
    </row>
    <row r="1032" spans="1:1" x14ac:dyDescent="0.25">
      <c r="A1032" s="38">
        <v>1032</v>
      </c>
    </row>
    <row r="1033" spans="1:1" x14ac:dyDescent="0.25">
      <c r="A1033" s="38">
        <v>1033</v>
      </c>
    </row>
    <row r="1034" spans="1:1" x14ac:dyDescent="0.25">
      <c r="A1034" s="38">
        <v>1034</v>
      </c>
    </row>
    <row r="1035" spans="1:1" x14ac:dyDescent="0.25">
      <c r="A1035" s="38">
        <v>1035</v>
      </c>
    </row>
    <row r="1036" spans="1:1" x14ac:dyDescent="0.25">
      <c r="A1036" s="38">
        <v>1036</v>
      </c>
    </row>
    <row r="1037" spans="1:1" x14ac:dyDescent="0.25">
      <c r="A1037" s="38">
        <v>1037</v>
      </c>
    </row>
    <row r="1038" spans="1:1" x14ac:dyDescent="0.25">
      <c r="A1038" s="38">
        <v>1038</v>
      </c>
    </row>
    <row r="1039" spans="1:1" x14ac:dyDescent="0.25">
      <c r="A1039" s="38">
        <v>1039</v>
      </c>
    </row>
    <row r="1040" spans="1:1" x14ac:dyDescent="0.25">
      <c r="A1040" s="38">
        <v>1040</v>
      </c>
    </row>
    <row r="1041" spans="1:1" x14ac:dyDescent="0.25">
      <c r="A1041" s="38">
        <v>1041</v>
      </c>
    </row>
    <row r="1042" spans="1:1" x14ac:dyDescent="0.25">
      <c r="A1042" s="38">
        <v>1042</v>
      </c>
    </row>
    <row r="1043" spans="1:1" x14ac:dyDescent="0.25">
      <c r="A1043" s="38">
        <v>1043</v>
      </c>
    </row>
    <row r="1044" spans="1:1" x14ac:dyDescent="0.25">
      <c r="A1044" s="38">
        <v>1044</v>
      </c>
    </row>
    <row r="1045" spans="1:1" x14ac:dyDescent="0.25">
      <c r="A1045" s="38">
        <v>1045</v>
      </c>
    </row>
    <row r="1046" spans="1:1" x14ac:dyDescent="0.25">
      <c r="A1046" s="38">
        <v>1046</v>
      </c>
    </row>
    <row r="1047" spans="1:1" x14ac:dyDescent="0.25">
      <c r="A1047" s="38">
        <v>1047</v>
      </c>
    </row>
    <row r="1048" spans="1:1" x14ac:dyDescent="0.25">
      <c r="A1048" s="38">
        <v>1048</v>
      </c>
    </row>
    <row r="1049" spans="1:1" x14ac:dyDescent="0.25">
      <c r="A1049" s="38">
        <v>1049</v>
      </c>
    </row>
    <row r="1050" spans="1:1" x14ac:dyDescent="0.25">
      <c r="A1050" s="38">
        <v>1050</v>
      </c>
    </row>
    <row r="1051" spans="1:1" x14ac:dyDescent="0.25">
      <c r="A1051" s="38">
        <v>1051</v>
      </c>
    </row>
    <row r="1052" spans="1:1" x14ac:dyDescent="0.25">
      <c r="A1052" s="38">
        <v>1052</v>
      </c>
    </row>
    <row r="1053" spans="1:1" x14ac:dyDescent="0.25">
      <c r="A1053" s="38">
        <v>1053</v>
      </c>
    </row>
    <row r="1054" spans="1:1" x14ac:dyDescent="0.25">
      <c r="A1054" s="38">
        <v>1054</v>
      </c>
    </row>
    <row r="1055" spans="1:1" x14ac:dyDescent="0.25">
      <c r="A1055" s="38">
        <v>1055</v>
      </c>
    </row>
    <row r="1056" spans="1:1" x14ac:dyDescent="0.25">
      <c r="A1056" s="38">
        <v>1056</v>
      </c>
    </row>
    <row r="1057" spans="1:1" x14ac:dyDescent="0.25">
      <c r="A1057" s="38">
        <v>1057</v>
      </c>
    </row>
    <row r="1058" spans="1:1" x14ac:dyDescent="0.25">
      <c r="A1058" s="38">
        <v>1058</v>
      </c>
    </row>
    <row r="1059" spans="1:1" x14ac:dyDescent="0.25">
      <c r="A1059" s="38">
        <v>1059</v>
      </c>
    </row>
    <row r="1060" spans="1:1" x14ac:dyDescent="0.25">
      <c r="A1060" s="38">
        <v>1060</v>
      </c>
    </row>
    <row r="1061" spans="1:1" x14ac:dyDescent="0.25">
      <c r="A1061" s="38">
        <v>1061</v>
      </c>
    </row>
    <row r="1062" spans="1:1" x14ac:dyDescent="0.25">
      <c r="A1062" s="38">
        <v>1062</v>
      </c>
    </row>
    <row r="1063" spans="1:1" x14ac:dyDescent="0.25">
      <c r="A1063" s="38">
        <v>1063</v>
      </c>
    </row>
    <row r="1064" spans="1:1" x14ac:dyDescent="0.25">
      <c r="A1064" s="38">
        <v>1064</v>
      </c>
    </row>
    <row r="1065" spans="1:1" x14ac:dyDescent="0.25">
      <c r="A1065" s="38">
        <v>1065</v>
      </c>
    </row>
    <row r="1066" spans="1:1" x14ac:dyDescent="0.25">
      <c r="A1066" s="38">
        <v>1066</v>
      </c>
    </row>
    <row r="1067" spans="1:1" x14ac:dyDescent="0.25">
      <c r="A1067" s="38">
        <v>1067</v>
      </c>
    </row>
    <row r="1068" spans="1:1" x14ac:dyDescent="0.25">
      <c r="A1068" s="38">
        <v>1068</v>
      </c>
    </row>
    <row r="1069" spans="1:1" x14ac:dyDescent="0.25">
      <c r="A1069" s="38">
        <v>1069</v>
      </c>
    </row>
    <row r="1070" spans="1:1" x14ac:dyDescent="0.25">
      <c r="A1070" s="38">
        <v>1070</v>
      </c>
    </row>
    <row r="1071" spans="1:1" x14ac:dyDescent="0.25">
      <c r="A1071" s="38">
        <v>1071</v>
      </c>
    </row>
    <row r="1072" spans="1:1" x14ac:dyDescent="0.25">
      <c r="A1072" s="38">
        <v>1072</v>
      </c>
    </row>
    <row r="1073" spans="1:1" x14ac:dyDescent="0.25">
      <c r="A1073" s="38">
        <v>1073</v>
      </c>
    </row>
    <row r="1074" spans="1:1" x14ac:dyDescent="0.25">
      <c r="A1074" s="38">
        <v>1074</v>
      </c>
    </row>
    <row r="1075" spans="1:1" x14ac:dyDescent="0.25">
      <c r="A1075" s="38">
        <v>1075</v>
      </c>
    </row>
    <row r="1076" spans="1:1" x14ac:dyDescent="0.25">
      <c r="A1076" s="38">
        <v>1076</v>
      </c>
    </row>
    <row r="1077" spans="1:1" x14ac:dyDescent="0.25">
      <c r="A1077" s="38">
        <v>1077</v>
      </c>
    </row>
    <row r="1078" spans="1:1" x14ac:dyDescent="0.25">
      <c r="A1078" s="38">
        <v>1078</v>
      </c>
    </row>
    <row r="1079" spans="1:1" x14ac:dyDescent="0.25">
      <c r="A1079" s="38">
        <v>1079</v>
      </c>
    </row>
    <row r="1080" spans="1:1" x14ac:dyDescent="0.25">
      <c r="A1080" s="38">
        <v>1080</v>
      </c>
    </row>
    <row r="1081" spans="1:1" x14ac:dyDescent="0.25">
      <c r="A1081" s="38">
        <v>1081</v>
      </c>
    </row>
    <row r="1082" spans="1:1" x14ac:dyDescent="0.25">
      <c r="A1082" s="38">
        <v>1082</v>
      </c>
    </row>
    <row r="1083" spans="1:1" x14ac:dyDescent="0.25">
      <c r="A1083" s="38">
        <v>1083</v>
      </c>
    </row>
    <row r="1084" spans="1:1" x14ac:dyDescent="0.25">
      <c r="A1084" s="38">
        <v>1084</v>
      </c>
    </row>
    <row r="1085" spans="1:1" x14ac:dyDescent="0.25">
      <c r="A1085" s="38">
        <v>1085</v>
      </c>
    </row>
    <row r="1086" spans="1:1" x14ac:dyDescent="0.25">
      <c r="A1086" s="38">
        <v>1086</v>
      </c>
    </row>
    <row r="1087" spans="1:1" x14ac:dyDescent="0.25">
      <c r="A1087" s="38">
        <v>1087</v>
      </c>
    </row>
    <row r="1088" spans="1:1" x14ac:dyDescent="0.25">
      <c r="A1088" s="38">
        <v>1088</v>
      </c>
    </row>
    <row r="1089" spans="1:1" x14ac:dyDescent="0.25">
      <c r="A1089" s="38">
        <v>1089</v>
      </c>
    </row>
    <row r="1090" spans="1:1" x14ac:dyDescent="0.25">
      <c r="A1090" s="38">
        <v>1090</v>
      </c>
    </row>
    <row r="1091" spans="1:1" x14ac:dyDescent="0.25">
      <c r="A1091" s="38">
        <v>1091</v>
      </c>
    </row>
    <row r="1092" spans="1:1" x14ac:dyDescent="0.25">
      <c r="A1092" s="38">
        <v>1092</v>
      </c>
    </row>
    <row r="1093" spans="1:1" x14ac:dyDescent="0.25">
      <c r="A1093" s="38">
        <v>1093</v>
      </c>
    </row>
    <row r="1094" spans="1:1" x14ac:dyDescent="0.25">
      <c r="A1094" s="38">
        <v>1094</v>
      </c>
    </row>
    <row r="1095" spans="1:1" x14ac:dyDescent="0.25">
      <c r="A1095" s="38">
        <v>1095</v>
      </c>
    </row>
    <row r="1096" spans="1:1" x14ac:dyDescent="0.25">
      <c r="A1096" s="38">
        <v>1096</v>
      </c>
    </row>
    <row r="1097" spans="1:1" x14ac:dyDescent="0.25">
      <c r="A1097" s="38">
        <v>1097</v>
      </c>
    </row>
    <row r="1098" spans="1:1" x14ac:dyDescent="0.25">
      <c r="A1098" s="38">
        <v>1098</v>
      </c>
    </row>
    <row r="1099" spans="1:1" x14ac:dyDescent="0.25">
      <c r="A1099" s="38">
        <v>1099</v>
      </c>
    </row>
    <row r="1100" spans="1:1" x14ac:dyDescent="0.25">
      <c r="A1100" s="38">
        <v>1100</v>
      </c>
    </row>
    <row r="1101" spans="1:1" x14ac:dyDescent="0.25">
      <c r="A1101" s="38">
        <v>1101</v>
      </c>
    </row>
    <row r="1102" spans="1:1" x14ac:dyDescent="0.25">
      <c r="A1102" s="38">
        <v>1102</v>
      </c>
    </row>
    <row r="1103" spans="1:1" x14ac:dyDescent="0.25">
      <c r="A1103" s="38">
        <v>1103</v>
      </c>
    </row>
    <row r="1104" spans="1:1" x14ac:dyDescent="0.25">
      <c r="A1104" s="38">
        <v>1104</v>
      </c>
    </row>
    <row r="1105" spans="1:1" x14ac:dyDescent="0.25">
      <c r="A1105" s="38">
        <v>1105</v>
      </c>
    </row>
    <row r="1106" spans="1:1" x14ac:dyDescent="0.25">
      <c r="A1106" s="38">
        <v>1106</v>
      </c>
    </row>
    <row r="1107" spans="1:1" x14ac:dyDescent="0.25">
      <c r="A1107" s="38">
        <v>1107</v>
      </c>
    </row>
    <row r="1108" spans="1:1" x14ac:dyDescent="0.25">
      <c r="A1108" s="38">
        <v>1108</v>
      </c>
    </row>
    <row r="1109" spans="1:1" x14ac:dyDescent="0.25">
      <c r="A1109" s="38">
        <v>1109</v>
      </c>
    </row>
    <row r="1110" spans="1:1" x14ac:dyDescent="0.25">
      <c r="A1110" s="38">
        <v>1110</v>
      </c>
    </row>
    <row r="1111" spans="1:1" x14ac:dyDescent="0.25">
      <c r="A1111" s="38">
        <v>1111</v>
      </c>
    </row>
    <row r="1112" spans="1:1" x14ac:dyDescent="0.25">
      <c r="A1112" s="38">
        <v>1112</v>
      </c>
    </row>
    <row r="1113" spans="1:1" x14ac:dyDescent="0.25">
      <c r="A1113" s="38">
        <v>1113</v>
      </c>
    </row>
    <row r="1114" spans="1:1" x14ac:dyDescent="0.25">
      <c r="A1114" s="38">
        <v>1114</v>
      </c>
    </row>
    <row r="1115" spans="1:1" x14ac:dyDescent="0.25">
      <c r="A1115" s="38">
        <v>1115</v>
      </c>
    </row>
    <row r="1116" spans="1:1" x14ac:dyDescent="0.25">
      <c r="A1116" s="38">
        <v>1116</v>
      </c>
    </row>
    <row r="1117" spans="1:1" x14ac:dyDescent="0.25">
      <c r="A1117" s="38">
        <v>1117</v>
      </c>
    </row>
    <row r="1118" spans="1:1" x14ac:dyDescent="0.25">
      <c r="A1118" s="38">
        <v>1118</v>
      </c>
    </row>
    <row r="1119" spans="1:1" x14ac:dyDescent="0.25">
      <c r="A1119" s="38">
        <v>1119</v>
      </c>
    </row>
    <row r="1120" spans="1:1" x14ac:dyDescent="0.25">
      <c r="A1120" s="38">
        <v>1120</v>
      </c>
    </row>
    <row r="1121" spans="1:1" x14ac:dyDescent="0.25">
      <c r="A1121" s="38">
        <v>1121</v>
      </c>
    </row>
    <row r="1122" spans="1:1" x14ac:dyDescent="0.25">
      <c r="A1122" s="38">
        <v>1122</v>
      </c>
    </row>
    <row r="1123" spans="1:1" x14ac:dyDescent="0.25">
      <c r="A1123" s="38">
        <v>1123</v>
      </c>
    </row>
    <row r="1124" spans="1:1" x14ac:dyDescent="0.25">
      <c r="A1124" s="38">
        <v>1124</v>
      </c>
    </row>
    <row r="1125" spans="1:1" x14ac:dyDescent="0.25">
      <c r="A1125" s="38">
        <v>1125</v>
      </c>
    </row>
    <row r="1126" spans="1:1" x14ac:dyDescent="0.25">
      <c r="A1126" s="38">
        <v>1126</v>
      </c>
    </row>
    <row r="1127" spans="1:1" x14ac:dyDescent="0.25">
      <c r="A1127" s="38">
        <v>1127</v>
      </c>
    </row>
    <row r="1128" spans="1:1" x14ac:dyDescent="0.25">
      <c r="A1128" s="38">
        <v>1128</v>
      </c>
    </row>
    <row r="1129" spans="1:1" x14ac:dyDescent="0.25">
      <c r="A1129" s="38">
        <v>1129</v>
      </c>
    </row>
    <row r="1130" spans="1:1" x14ac:dyDescent="0.25">
      <c r="A1130" s="38">
        <v>1130</v>
      </c>
    </row>
    <row r="1131" spans="1:1" x14ac:dyDescent="0.25">
      <c r="A1131" s="38">
        <v>1131</v>
      </c>
    </row>
    <row r="1132" spans="1:1" x14ac:dyDescent="0.25">
      <c r="A1132" s="38">
        <v>1132</v>
      </c>
    </row>
    <row r="1133" spans="1:1" x14ac:dyDescent="0.25">
      <c r="A1133" s="38">
        <v>1133</v>
      </c>
    </row>
    <row r="1134" spans="1:1" x14ac:dyDescent="0.25">
      <c r="A1134" s="38">
        <v>1134</v>
      </c>
    </row>
    <row r="1135" spans="1:1" x14ac:dyDescent="0.25">
      <c r="A1135" s="38">
        <v>1135</v>
      </c>
    </row>
    <row r="1136" spans="1:1" x14ac:dyDescent="0.25">
      <c r="A1136" s="38">
        <v>1136</v>
      </c>
    </row>
    <row r="1137" spans="1:1" x14ac:dyDescent="0.25">
      <c r="A1137" s="38">
        <v>1137</v>
      </c>
    </row>
    <row r="1138" spans="1:1" x14ac:dyDescent="0.25">
      <c r="A1138" s="38">
        <v>1138</v>
      </c>
    </row>
    <row r="1139" spans="1:1" x14ac:dyDescent="0.25">
      <c r="A1139" s="38">
        <v>1139</v>
      </c>
    </row>
    <row r="1140" spans="1:1" x14ac:dyDescent="0.25">
      <c r="A1140" s="38">
        <v>1140</v>
      </c>
    </row>
    <row r="1141" spans="1:1" x14ac:dyDescent="0.25">
      <c r="A1141" s="38">
        <v>1141</v>
      </c>
    </row>
    <row r="1142" spans="1:1" x14ac:dyDescent="0.25">
      <c r="A1142" s="38">
        <v>1142</v>
      </c>
    </row>
    <row r="1143" spans="1:1" x14ac:dyDescent="0.25">
      <c r="A1143" s="38">
        <v>1143</v>
      </c>
    </row>
    <row r="1144" spans="1:1" x14ac:dyDescent="0.25">
      <c r="A1144" s="38">
        <v>1144</v>
      </c>
    </row>
    <row r="1145" spans="1:1" x14ac:dyDescent="0.25">
      <c r="A1145" s="38">
        <v>1145</v>
      </c>
    </row>
    <row r="1146" spans="1:1" x14ac:dyDescent="0.25">
      <c r="A1146" s="38">
        <v>1146</v>
      </c>
    </row>
    <row r="1147" spans="1:1" x14ac:dyDescent="0.25">
      <c r="A1147" s="38">
        <v>1147</v>
      </c>
    </row>
    <row r="1148" spans="1:1" x14ac:dyDescent="0.25">
      <c r="A1148" s="38">
        <v>1148</v>
      </c>
    </row>
    <row r="1149" spans="1:1" x14ac:dyDescent="0.25">
      <c r="A1149" s="38">
        <v>1149</v>
      </c>
    </row>
    <row r="1150" spans="1:1" x14ac:dyDescent="0.25">
      <c r="A1150" s="38">
        <v>1150</v>
      </c>
    </row>
    <row r="1151" spans="1:1" x14ac:dyDescent="0.25">
      <c r="A1151" s="38">
        <v>1151</v>
      </c>
    </row>
    <row r="1152" spans="1:1" x14ac:dyDescent="0.25">
      <c r="A1152" s="38">
        <v>1152</v>
      </c>
    </row>
    <row r="1153" spans="1:1" x14ac:dyDescent="0.25">
      <c r="A1153" s="38">
        <v>1153</v>
      </c>
    </row>
    <row r="1154" spans="1:1" x14ac:dyDescent="0.25">
      <c r="A1154" s="38">
        <v>1154</v>
      </c>
    </row>
    <row r="1155" spans="1:1" x14ac:dyDescent="0.25">
      <c r="A1155" s="38">
        <v>1155</v>
      </c>
    </row>
    <row r="1156" spans="1:1" x14ac:dyDescent="0.25">
      <c r="A1156" s="38">
        <v>1156</v>
      </c>
    </row>
    <row r="1157" spans="1:1" x14ac:dyDescent="0.25">
      <c r="A1157" s="38">
        <v>1157</v>
      </c>
    </row>
    <row r="1158" spans="1:1" x14ac:dyDescent="0.25">
      <c r="A1158" s="38">
        <v>1158</v>
      </c>
    </row>
    <row r="1159" spans="1:1" x14ac:dyDescent="0.25">
      <c r="A1159" s="38">
        <v>1159</v>
      </c>
    </row>
    <row r="1160" spans="1:1" x14ac:dyDescent="0.25">
      <c r="A1160" s="38">
        <v>1160</v>
      </c>
    </row>
    <row r="1161" spans="1:1" x14ac:dyDescent="0.25">
      <c r="A1161" s="38">
        <v>1161</v>
      </c>
    </row>
    <row r="1162" spans="1:1" x14ac:dyDescent="0.25">
      <c r="A1162" s="38">
        <v>1162</v>
      </c>
    </row>
    <row r="1163" spans="1:1" x14ac:dyDescent="0.25">
      <c r="A1163" s="38">
        <v>1163</v>
      </c>
    </row>
    <row r="1164" spans="1:1" x14ac:dyDescent="0.25">
      <c r="A1164" s="38">
        <v>1164</v>
      </c>
    </row>
    <row r="1165" spans="1:1" x14ac:dyDescent="0.25">
      <c r="A1165" s="38">
        <v>1165</v>
      </c>
    </row>
    <row r="1166" spans="1:1" x14ac:dyDescent="0.25">
      <c r="A1166" s="38">
        <v>1166</v>
      </c>
    </row>
    <row r="1167" spans="1:1" x14ac:dyDescent="0.25">
      <c r="A1167" s="38">
        <v>1167</v>
      </c>
    </row>
    <row r="1168" spans="1:1" x14ac:dyDescent="0.25">
      <c r="A1168" s="38">
        <v>1168</v>
      </c>
    </row>
    <row r="1169" spans="1:1" x14ac:dyDescent="0.25">
      <c r="A1169" s="38">
        <v>1169</v>
      </c>
    </row>
    <row r="1170" spans="1:1" x14ac:dyDescent="0.25">
      <c r="A1170" s="38">
        <v>1170</v>
      </c>
    </row>
    <row r="1171" spans="1:1" x14ac:dyDescent="0.25">
      <c r="A1171" s="38">
        <v>1171</v>
      </c>
    </row>
    <row r="1172" spans="1:1" x14ac:dyDescent="0.25">
      <c r="A1172" s="38">
        <v>1172</v>
      </c>
    </row>
    <row r="1173" spans="1:1" x14ac:dyDescent="0.25">
      <c r="A1173" s="38">
        <v>1173</v>
      </c>
    </row>
    <row r="1174" spans="1:1" x14ac:dyDescent="0.25">
      <c r="A1174" s="38">
        <v>1174</v>
      </c>
    </row>
    <row r="1175" spans="1:1" x14ac:dyDescent="0.25">
      <c r="A1175" s="38">
        <v>1175</v>
      </c>
    </row>
    <row r="1176" spans="1:1" x14ac:dyDescent="0.25">
      <c r="A1176" s="38">
        <v>1176</v>
      </c>
    </row>
    <row r="1177" spans="1:1" x14ac:dyDescent="0.25">
      <c r="A1177" s="38">
        <v>1177</v>
      </c>
    </row>
    <row r="1178" spans="1:1" x14ac:dyDescent="0.25">
      <c r="A1178" s="38">
        <v>1178</v>
      </c>
    </row>
    <row r="1179" spans="1:1" x14ac:dyDescent="0.25">
      <c r="A1179" s="38">
        <v>1179</v>
      </c>
    </row>
    <row r="1180" spans="1:1" x14ac:dyDescent="0.25">
      <c r="A1180" s="38">
        <v>1180</v>
      </c>
    </row>
    <row r="1181" spans="1:1" x14ac:dyDescent="0.25">
      <c r="A1181" s="38">
        <v>1181</v>
      </c>
    </row>
    <row r="1182" spans="1:1" x14ac:dyDescent="0.25">
      <c r="A1182" s="38">
        <v>1182</v>
      </c>
    </row>
    <row r="1183" spans="1:1" x14ac:dyDescent="0.25">
      <c r="A1183" s="38">
        <v>1183</v>
      </c>
    </row>
    <row r="1184" spans="1:1" x14ac:dyDescent="0.25">
      <c r="A1184" s="38">
        <v>1184</v>
      </c>
    </row>
    <row r="1185" spans="1:1" x14ac:dyDescent="0.25">
      <c r="A1185" s="38">
        <v>1185</v>
      </c>
    </row>
    <row r="1186" spans="1:1" x14ac:dyDescent="0.25">
      <c r="A1186" s="38">
        <v>1186</v>
      </c>
    </row>
    <row r="1187" spans="1:1" x14ac:dyDescent="0.25">
      <c r="A1187" s="38">
        <v>1187</v>
      </c>
    </row>
    <row r="1188" spans="1:1" x14ac:dyDescent="0.25">
      <c r="A1188" s="38">
        <v>1188</v>
      </c>
    </row>
    <row r="1189" spans="1:1" x14ac:dyDescent="0.25">
      <c r="A1189" s="38">
        <v>1189</v>
      </c>
    </row>
    <row r="1190" spans="1:1" x14ac:dyDescent="0.25">
      <c r="A1190" s="38">
        <v>1190</v>
      </c>
    </row>
    <row r="1191" spans="1:1" x14ac:dyDescent="0.25">
      <c r="A1191" s="38">
        <v>1191</v>
      </c>
    </row>
    <row r="1192" spans="1:1" x14ac:dyDescent="0.25">
      <c r="A1192" s="38">
        <v>1192</v>
      </c>
    </row>
    <row r="1193" spans="1:1" x14ac:dyDescent="0.25">
      <c r="A1193" s="38">
        <v>1193</v>
      </c>
    </row>
    <row r="1194" spans="1:1" x14ac:dyDescent="0.25">
      <c r="A1194" s="38">
        <v>1194</v>
      </c>
    </row>
    <row r="1195" spans="1:1" x14ac:dyDescent="0.25">
      <c r="A1195" s="38">
        <v>1195</v>
      </c>
    </row>
    <row r="1196" spans="1:1" x14ac:dyDescent="0.25">
      <c r="A1196" s="38">
        <v>1196</v>
      </c>
    </row>
    <row r="1197" spans="1:1" x14ac:dyDescent="0.25">
      <c r="A1197" s="38">
        <v>1197</v>
      </c>
    </row>
    <row r="1198" spans="1:1" x14ac:dyDescent="0.25">
      <c r="A1198" s="38">
        <v>1198</v>
      </c>
    </row>
    <row r="1199" spans="1:1" x14ac:dyDescent="0.25">
      <c r="A1199" s="38">
        <v>1199</v>
      </c>
    </row>
    <row r="1200" spans="1:1" x14ac:dyDescent="0.25">
      <c r="A1200" s="38">
        <v>1200</v>
      </c>
    </row>
    <row r="1201" spans="1:1" x14ac:dyDescent="0.25">
      <c r="A1201" s="38">
        <v>1201</v>
      </c>
    </row>
    <row r="1202" spans="1:1" x14ac:dyDescent="0.25">
      <c r="A1202" s="38">
        <v>1202</v>
      </c>
    </row>
    <row r="1203" spans="1:1" x14ac:dyDescent="0.25">
      <c r="A1203" s="38">
        <v>1203</v>
      </c>
    </row>
    <row r="1204" spans="1:1" x14ac:dyDescent="0.25">
      <c r="A1204" s="38">
        <v>1204</v>
      </c>
    </row>
    <row r="1205" spans="1:1" x14ac:dyDescent="0.25">
      <c r="A1205" s="38">
        <v>1205</v>
      </c>
    </row>
    <row r="1206" spans="1:1" x14ac:dyDescent="0.25">
      <c r="A1206" s="38">
        <v>1206</v>
      </c>
    </row>
    <row r="1207" spans="1:1" x14ac:dyDescent="0.25">
      <c r="A1207" s="38">
        <v>1207</v>
      </c>
    </row>
    <row r="1208" spans="1:1" x14ac:dyDescent="0.25">
      <c r="A1208" s="38">
        <v>1208</v>
      </c>
    </row>
    <row r="1209" spans="1:1" x14ac:dyDescent="0.25">
      <c r="A1209" s="38">
        <v>1209</v>
      </c>
    </row>
    <row r="1210" spans="1:1" x14ac:dyDescent="0.25">
      <c r="A1210" s="38">
        <v>1210</v>
      </c>
    </row>
    <row r="1211" spans="1:1" x14ac:dyDescent="0.25">
      <c r="A1211" s="38">
        <v>1211</v>
      </c>
    </row>
    <row r="1212" spans="1:1" x14ac:dyDescent="0.25">
      <c r="A1212" s="38">
        <v>1212</v>
      </c>
    </row>
    <row r="1213" spans="1:1" x14ac:dyDescent="0.25">
      <c r="A1213" s="38">
        <v>1213</v>
      </c>
    </row>
    <row r="1214" spans="1:1" x14ac:dyDescent="0.25">
      <c r="A1214" s="38">
        <v>1214</v>
      </c>
    </row>
    <row r="1215" spans="1:1" x14ac:dyDescent="0.25">
      <c r="A1215" s="38">
        <v>1215</v>
      </c>
    </row>
    <row r="1216" spans="1:1" x14ac:dyDescent="0.25">
      <c r="A1216" s="38">
        <v>1216</v>
      </c>
    </row>
    <row r="1217" spans="1:1" x14ac:dyDescent="0.25">
      <c r="A1217" s="38">
        <v>1217</v>
      </c>
    </row>
    <row r="1218" spans="1:1" x14ac:dyDescent="0.25">
      <c r="A1218" s="38">
        <v>1218</v>
      </c>
    </row>
    <row r="1219" spans="1:1" x14ac:dyDescent="0.25">
      <c r="A1219" s="38">
        <v>1219</v>
      </c>
    </row>
    <row r="1220" spans="1:1" x14ac:dyDescent="0.25">
      <c r="A1220" s="38">
        <v>1220</v>
      </c>
    </row>
    <row r="1221" spans="1:1" x14ac:dyDescent="0.25">
      <c r="A1221" s="38">
        <v>1221</v>
      </c>
    </row>
    <row r="1222" spans="1:1" x14ac:dyDescent="0.25">
      <c r="A1222" s="38">
        <v>1222</v>
      </c>
    </row>
    <row r="1223" spans="1:1" x14ac:dyDescent="0.25">
      <c r="A1223" s="38">
        <v>1223</v>
      </c>
    </row>
    <row r="1224" spans="1:1" x14ac:dyDescent="0.25">
      <c r="A1224" s="38">
        <v>1224</v>
      </c>
    </row>
    <row r="1225" spans="1:1" x14ac:dyDescent="0.25">
      <c r="A1225" s="38">
        <v>1225</v>
      </c>
    </row>
    <row r="1226" spans="1:1" x14ac:dyDescent="0.25">
      <c r="A1226" s="38">
        <v>1226</v>
      </c>
    </row>
    <row r="1227" spans="1:1" x14ac:dyDescent="0.25">
      <c r="A1227" s="38">
        <v>1227</v>
      </c>
    </row>
    <row r="1228" spans="1:1" x14ac:dyDescent="0.25">
      <c r="A1228" s="38">
        <v>1228</v>
      </c>
    </row>
    <row r="1229" spans="1:1" x14ac:dyDescent="0.25">
      <c r="A1229" s="38">
        <v>1229</v>
      </c>
    </row>
    <row r="1230" spans="1:1" x14ac:dyDescent="0.25">
      <c r="A1230" s="38">
        <v>1230</v>
      </c>
    </row>
    <row r="1231" spans="1:1" x14ac:dyDescent="0.25">
      <c r="A1231" s="38">
        <v>1231</v>
      </c>
    </row>
    <row r="1232" spans="1:1" x14ac:dyDescent="0.25">
      <c r="A1232" s="38">
        <v>1232</v>
      </c>
    </row>
    <row r="1233" spans="1:1" x14ac:dyDescent="0.25">
      <c r="A1233" s="38">
        <v>1233</v>
      </c>
    </row>
    <row r="1234" spans="1:1" x14ac:dyDescent="0.25">
      <c r="A1234" s="38">
        <v>1234</v>
      </c>
    </row>
    <row r="1235" spans="1:1" x14ac:dyDescent="0.25">
      <c r="A1235" s="38">
        <v>1235</v>
      </c>
    </row>
    <row r="1236" spans="1:1" x14ac:dyDescent="0.25">
      <c r="A1236" s="38">
        <v>1236</v>
      </c>
    </row>
    <row r="1237" spans="1:1" x14ac:dyDescent="0.25">
      <c r="A1237" s="38">
        <v>1237</v>
      </c>
    </row>
    <row r="1238" spans="1:1" x14ac:dyDescent="0.25">
      <c r="A1238" s="38">
        <v>1238</v>
      </c>
    </row>
    <row r="1239" spans="1:1" x14ac:dyDescent="0.25">
      <c r="A1239" s="38">
        <v>1239</v>
      </c>
    </row>
    <row r="1240" spans="1:1" x14ac:dyDescent="0.25">
      <c r="A1240" s="38">
        <v>1240</v>
      </c>
    </row>
    <row r="1241" spans="1:1" x14ac:dyDescent="0.25">
      <c r="A1241" s="38">
        <v>1241</v>
      </c>
    </row>
    <row r="1242" spans="1:1" x14ac:dyDescent="0.25">
      <c r="A1242" s="38">
        <v>1242</v>
      </c>
    </row>
    <row r="1243" spans="1:1" x14ac:dyDescent="0.25">
      <c r="A1243" s="38">
        <v>1243</v>
      </c>
    </row>
    <row r="1244" spans="1:1" x14ac:dyDescent="0.25">
      <c r="A1244" s="38">
        <v>1244</v>
      </c>
    </row>
    <row r="1245" spans="1:1" x14ac:dyDescent="0.25">
      <c r="A1245" s="38">
        <v>1245</v>
      </c>
    </row>
    <row r="1246" spans="1:1" x14ac:dyDescent="0.25">
      <c r="A1246" s="38">
        <v>1246</v>
      </c>
    </row>
    <row r="1247" spans="1:1" x14ac:dyDescent="0.25">
      <c r="A1247" s="38">
        <v>1247</v>
      </c>
    </row>
    <row r="1248" spans="1:1" x14ac:dyDescent="0.25">
      <c r="A1248" s="38">
        <v>1248</v>
      </c>
    </row>
    <row r="1249" spans="1:1" x14ac:dyDescent="0.25">
      <c r="A1249" s="38">
        <v>1249</v>
      </c>
    </row>
    <row r="1250" spans="1:1" x14ac:dyDescent="0.25">
      <c r="A1250" s="38">
        <v>1250</v>
      </c>
    </row>
    <row r="1251" spans="1:1" x14ac:dyDescent="0.25">
      <c r="A1251" s="38">
        <v>1251</v>
      </c>
    </row>
    <row r="1252" spans="1:1" x14ac:dyDescent="0.25">
      <c r="A1252" s="38">
        <v>1252</v>
      </c>
    </row>
    <row r="1253" spans="1:1" x14ac:dyDescent="0.25">
      <c r="A1253" s="38">
        <v>1253</v>
      </c>
    </row>
    <row r="1254" spans="1:1" x14ac:dyDescent="0.25">
      <c r="A1254" s="38">
        <v>1254</v>
      </c>
    </row>
    <row r="1255" spans="1:1" x14ac:dyDescent="0.25">
      <c r="A1255" s="38">
        <v>1255</v>
      </c>
    </row>
    <row r="1256" spans="1:1" x14ac:dyDescent="0.25">
      <c r="A1256" s="38">
        <v>1256</v>
      </c>
    </row>
    <row r="1257" spans="1:1" x14ac:dyDescent="0.25">
      <c r="A1257" s="38">
        <v>1257</v>
      </c>
    </row>
    <row r="1258" spans="1:1" x14ac:dyDescent="0.25">
      <c r="A1258" s="38">
        <v>1258</v>
      </c>
    </row>
    <row r="1259" spans="1:1" x14ac:dyDescent="0.25">
      <c r="A1259" s="38">
        <v>1259</v>
      </c>
    </row>
    <row r="1260" spans="1:1" x14ac:dyDescent="0.25">
      <c r="A1260" s="38">
        <v>1260</v>
      </c>
    </row>
    <row r="1261" spans="1:1" x14ac:dyDescent="0.25">
      <c r="A1261" s="38">
        <v>1261</v>
      </c>
    </row>
    <row r="1262" spans="1:1" x14ac:dyDescent="0.25">
      <c r="A1262" s="38">
        <v>1262</v>
      </c>
    </row>
    <row r="1263" spans="1:1" x14ac:dyDescent="0.25">
      <c r="A1263" s="38">
        <v>1263</v>
      </c>
    </row>
    <row r="1264" spans="1:1" x14ac:dyDescent="0.25">
      <c r="A1264" s="38">
        <v>1264</v>
      </c>
    </row>
    <row r="1265" spans="1:1" x14ac:dyDescent="0.25">
      <c r="A1265" s="38">
        <v>1265</v>
      </c>
    </row>
    <row r="1266" spans="1:1" x14ac:dyDescent="0.25">
      <c r="A1266" s="38">
        <v>1266</v>
      </c>
    </row>
    <row r="1267" spans="1:1" x14ac:dyDescent="0.25">
      <c r="A1267" s="38">
        <v>1267</v>
      </c>
    </row>
    <row r="1268" spans="1:1" x14ac:dyDescent="0.25">
      <c r="A1268" s="38">
        <v>1268</v>
      </c>
    </row>
    <row r="1269" spans="1:1" x14ac:dyDescent="0.25">
      <c r="A1269" s="38">
        <v>1269</v>
      </c>
    </row>
    <row r="1270" spans="1:1" x14ac:dyDescent="0.25">
      <c r="A1270" s="38">
        <v>1270</v>
      </c>
    </row>
    <row r="1271" spans="1:1" x14ac:dyDescent="0.25">
      <c r="A1271" s="38">
        <v>1271</v>
      </c>
    </row>
    <row r="1272" spans="1:1" x14ac:dyDescent="0.25">
      <c r="A1272" s="38">
        <v>1272</v>
      </c>
    </row>
    <row r="1273" spans="1:1" x14ac:dyDescent="0.25">
      <c r="A1273" s="38">
        <v>1273</v>
      </c>
    </row>
    <row r="1274" spans="1:1" x14ac:dyDescent="0.25">
      <c r="A1274" s="38">
        <v>1274</v>
      </c>
    </row>
    <row r="1275" spans="1:1" x14ac:dyDescent="0.25">
      <c r="A1275" s="38">
        <v>1275</v>
      </c>
    </row>
    <row r="1276" spans="1:1" x14ac:dyDescent="0.25">
      <c r="A1276" s="38">
        <v>1276</v>
      </c>
    </row>
    <row r="1277" spans="1:1" x14ac:dyDescent="0.25">
      <c r="A1277" s="38">
        <v>1277</v>
      </c>
    </row>
    <row r="1278" spans="1:1" x14ac:dyDescent="0.25">
      <c r="A1278" s="38">
        <v>1278</v>
      </c>
    </row>
    <row r="1279" spans="1:1" x14ac:dyDescent="0.25">
      <c r="A1279" s="38">
        <v>1279</v>
      </c>
    </row>
    <row r="1280" spans="1:1" x14ac:dyDescent="0.25">
      <c r="A1280" s="38">
        <v>1280</v>
      </c>
    </row>
    <row r="1281" spans="1:1" x14ac:dyDescent="0.25">
      <c r="A1281" s="38">
        <v>1281</v>
      </c>
    </row>
    <row r="1282" spans="1:1" x14ac:dyDescent="0.25">
      <c r="A1282" s="38">
        <v>1282</v>
      </c>
    </row>
    <row r="1283" spans="1:1" x14ac:dyDescent="0.25">
      <c r="A1283" s="38">
        <v>1283</v>
      </c>
    </row>
    <row r="1284" spans="1:1" x14ac:dyDescent="0.25">
      <c r="A1284" s="38">
        <v>1284</v>
      </c>
    </row>
    <row r="1285" spans="1:1" x14ac:dyDescent="0.25">
      <c r="A1285" s="38">
        <v>1285</v>
      </c>
    </row>
    <row r="1286" spans="1:1" x14ac:dyDescent="0.25">
      <c r="A1286" s="38">
        <v>1286</v>
      </c>
    </row>
    <row r="1287" spans="1:1" x14ac:dyDescent="0.25">
      <c r="A1287" s="38">
        <v>1287</v>
      </c>
    </row>
    <row r="1288" spans="1:1" x14ac:dyDescent="0.25">
      <c r="A1288" s="38">
        <v>1288</v>
      </c>
    </row>
    <row r="1289" spans="1:1" x14ac:dyDescent="0.25">
      <c r="A1289" s="38">
        <v>1289</v>
      </c>
    </row>
    <row r="1290" spans="1:1" x14ac:dyDescent="0.25">
      <c r="A1290" s="38">
        <v>1290</v>
      </c>
    </row>
    <row r="1291" spans="1:1" x14ac:dyDescent="0.25">
      <c r="A1291" s="38">
        <v>1291</v>
      </c>
    </row>
    <row r="1292" spans="1:1" x14ac:dyDescent="0.25">
      <c r="A1292" s="38">
        <v>1292</v>
      </c>
    </row>
    <row r="1293" spans="1:1" x14ac:dyDescent="0.25">
      <c r="A1293" s="38">
        <v>1293</v>
      </c>
    </row>
    <row r="1294" spans="1:1" x14ac:dyDescent="0.25">
      <c r="A1294" s="38">
        <v>1294</v>
      </c>
    </row>
    <row r="1295" spans="1:1" x14ac:dyDescent="0.25">
      <c r="A1295" s="38">
        <v>1295</v>
      </c>
    </row>
    <row r="1296" spans="1:1" x14ac:dyDescent="0.25">
      <c r="A1296" s="38">
        <v>1296</v>
      </c>
    </row>
    <row r="1297" spans="1:1" x14ac:dyDescent="0.25">
      <c r="A1297" s="38">
        <v>1297</v>
      </c>
    </row>
    <row r="1298" spans="1:1" x14ac:dyDescent="0.25">
      <c r="A1298" s="38">
        <v>1298</v>
      </c>
    </row>
    <row r="1299" spans="1:1" x14ac:dyDescent="0.25">
      <c r="A1299" s="38">
        <v>1299</v>
      </c>
    </row>
    <row r="1300" spans="1:1" x14ac:dyDescent="0.25">
      <c r="A1300" s="38">
        <v>1300</v>
      </c>
    </row>
    <row r="1301" spans="1:1" x14ac:dyDescent="0.25">
      <c r="A1301" s="38">
        <v>1301</v>
      </c>
    </row>
    <row r="1302" spans="1:1" x14ac:dyDescent="0.25">
      <c r="A1302" s="38">
        <v>1302</v>
      </c>
    </row>
    <row r="1303" spans="1:1" x14ac:dyDescent="0.25">
      <c r="A1303" s="38">
        <v>1303</v>
      </c>
    </row>
    <row r="1304" spans="1:1" x14ac:dyDescent="0.25">
      <c r="A1304" s="38">
        <v>1304</v>
      </c>
    </row>
    <row r="1305" spans="1:1" x14ac:dyDescent="0.25">
      <c r="A1305" s="38">
        <v>1305</v>
      </c>
    </row>
    <row r="1306" spans="1:1" x14ac:dyDescent="0.25">
      <c r="A1306" s="38">
        <v>1306</v>
      </c>
    </row>
    <row r="1307" spans="1:1" x14ac:dyDescent="0.25">
      <c r="A1307" s="38">
        <v>1307</v>
      </c>
    </row>
    <row r="1308" spans="1:1" x14ac:dyDescent="0.25">
      <c r="A1308" s="38">
        <v>1308</v>
      </c>
    </row>
    <row r="1309" spans="1:1" x14ac:dyDescent="0.25">
      <c r="A1309" s="38">
        <v>1309</v>
      </c>
    </row>
    <row r="1310" spans="1:1" x14ac:dyDescent="0.25">
      <c r="A1310" s="38">
        <v>1310</v>
      </c>
    </row>
    <row r="1311" spans="1:1" x14ac:dyDescent="0.25">
      <c r="A1311" s="38">
        <v>1311</v>
      </c>
    </row>
    <row r="1312" spans="1:1" x14ac:dyDescent="0.25">
      <c r="A1312" s="38">
        <v>1312</v>
      </c>
    </row>
    <row r="1313" spans="1:1" x14ac:dyDescent="0.25">
      <c r="A1313" s="38">
        <v>1313</v>
      </c>
    </row>
    <row r="1314" spans="1:1" x14ac:dyDescent="0.25">
      <c r="A1314" s="38">
        <v>1314</v>
      </c>
    </row>
    <row r="1315" spans="1:1" x14ac:dyDescent="0.25">
      <c r="A1315" s="38">
        <v>1315</v>
      </c>
    </row>
    <row r="1316" spans="1:1" x14ac:dyDescent="0.25">
      <c r="A1316" s="38">
        <v>1316</v>
      </c>
    </row>
    <row r="1317" spans="1:1" x14ac:dyDescent="0.25">
      <c r="A1317" s="38">
        <v>1317</v>
      </c>
    </row>
    <row r="1318" spans="1:1" x14ac:dyDescent="0.25">
      <c r="A1318" s="38">
        <v>1318</v>
      </c>
    </row>
    <row r="1319" spans="1:1" x14ac:dyDescent="0.25">
      <c r="A1319" s="38">
        <v>1319</v>
      </c>
    </row>
    <row r="1320" spans="1:1" x14ac:dyDescent="0.25">
      <c r="A1320" s="38">
        <v>1320</v>
      </c>
    </row>
    <row r="1321" spans="1:1" x14ac:dyDescent="0.25">
      <c r="A1321" s="38">
        <v>1321</v>
      </c>
    </row>
    <row r="1322" spans="1:1" x14ac:dyDescent="0.25">
      <c r="A1322" s="38">
        <v>1322</v>
      </c>
    </row>
    <row r="1323" spans="1:1" x14ac:dyDescent="0.25">
      <c r="A1323" s="38">
        <v>1323</v>
      </c>
    </row>
    <row r="1324" spans="1:1" x14ac:dyDescent="0.25">
      <c r="A1324" s="38">
        <v>1324</v>
      </c>
    </row>
    <row r="1325" spans="1:1" x14ac:dyDescent="0.25">
      <c r="A1325" s="38">
        <v>1325</v>
      </c>
    </row>
    <row r="1326" spans="1:1" x14ac:dyDescent="0.25">
      <c r="A1326" s="38">
        <v>1326</v>
      </c>
    </row>
    <row r="1327" spans="1:1" x14ac:dyDescent="0.25">
      <c r="A1327" s="38">
        <v>1327</v>
      </c>
    </row>
    <row r="1328" spans="1:1" x14ac:dyDescent="0.25">
      <c r="A1328" s="38">
        <v>1328</v>
      </c>
    </row>
    <row r="1329" spans="1:1" x14ac:dyDescent="0.25">
      <c r="A1329" s="38">
        <v>1329</v>
      </c>
    </row>
    <row r="1330" spans="1:1" x14ac:dyDescent="0.25">
      <c r="A1330" s="38">
        <v>1330</v>
      </c>
    </row>
    <row r="1331" spans="1:1" x14ac:dyDescent="0.25">
      <c r="A1331" s="38">
        <v>1331</v>
      </c>
    </row>
    <row r="1332" spans="1:1" x14ac:dyDescent="0.25">
      <c r="A1332" s="38">
        <v>1332</v>
      </c>
    </row>
    <row r="1333" spans="1:1" x14ac:dyDescent="0.25">
      <c r="A1333" s="38">
        <v>1333</v>
      </c>
    </row>
    <row r="1334" spans="1:1" x14ac:dyDescent="0.25">
      <c r="A1334" s="38">
        <v>1334</v>
      </c>
    </row>
    <row r="1335" spans="1:1" x14ac:dyDescent="0.25">
      <c r="A1335" s="38">
        <v>1335</v>
      </c>
    </row>
    <row r="1336" spans="1:1" x14ac:dyDescent="0.25">
      <c r="A1336" s="38">
        <v>1336</v>
      </c>
    </row>
    <row r="1337" spans="1:1" x14ac:dyDescent="0.25">
      <c r="A1337" s="38">
        <v>1337</v>
      </c>
    </row>
    <row r="1338" spans="1:1" x14ac:dyDescent="0.25">
      <c r="A1338" s="38">
        <v>1338</v>
      </c>
    </row>
    <row r="1339" spans="1:1" x14ac:dyDescent="0.25">
      <c r="A1339" s="38">
        <v>1339</v>
      </c>
    </row>
    <row r="1340" spans="1:1" x14ac:dyDescent="0.25">
      <c r="A1340" s="38">
        <v>1340</v>
      </c>
    </row>
    <row r="1341" spans="1:1" x14ac:dyDescent="0.25">
      <c r="A1341" s="38">
        <v>1341</v>
      </c>
    </row>
    <row r="1342" spans="1:1" x14ac:dyDescent="0.25">
      <c r="A1342" s="38">
        <v>1342</v>
      </c>
    </row>
    <row r="1343" spans="1:1" x14ac:dyDescent="0.25">
      <c r="A1343" s="38">
        <v>1343</v>
      </c>
    </row>
    <row r="1344" spans="1:1" x14ac:dyDescent="0.25">
      <c r="A1344" s="38">
        <v>1344</v>
      </c>
    </row>
    <row r="1345" spans="1:1" x14ac:dyDescent="0.25">
      <c r="A1345" s="38">
        <v>1345</v>
      </c>
    </row>
    <row r="1346" spans="1:1" x14ac:dyDescent="0.25">
      <c r="A1346" s="38">
        <v>1346</v>
      </c>
    </row>
    <row r="1347" spans="1:1" x14ac:dyDescent="0.25">
      <c r="A1347" s="38">
        <v>1347</v>
      </c>
    </row>
    <row r="1348" spans="1:1" x14ac:dyDescent="0.25">
      <c r="A1348" s="38">
        <v>1348</v>
      </c>
    </row>
    <row r="1349" spans="1:1" x14ac:dyDescent="0.25">
      <c r="A1349" s="38">
        <v>1349</v>
      </c>
    </row>
    <row r="1350" spans="1:1" x14ac:dyDescent="0.25">
      <c r="A1350" s="38">
        <v>1350</v>
      </c>
    </row>
    <row r="1351" spans="1:1" x14ac:dyDescent="0.25">
      <c r="A1351" s="38">
        <v>1351</v>
      </c>
    </row>
    <row r="1352" spans="1:1" x14ac:dyDescent="0.25">
      <c r="A1352" s="38">
        <v>1352</v>
      </c>
    </row>
    <row r="1353" spans="1:1" x14ac:dyDescent="0.25">
      <c r="A1353" s="38">
        <v>1353</v>
      </c>
    </row>
    <row r="1354" spans="1:1" x14ac:dyDescent="0.25">
      <c r="A1354" s="38">
        <v>1354</v>
      </c>
    </row>
    <row r="1355" spans="1:1" x14ac:dyDescent="0.25">
      <c r="A1355" s="38">
        <v>1355</v>
      </c>
    </row>
    <row r="1356" spans="1:1" x14ac:dyDescent="0.25">
      <c r="A1356" s="38">
        <v>1356</v>
      </c>
    </row>
    <row r="1357" spans="1:1" x14ac:dyDescent="0.25">
      <c r="A1357" s="38">
        <v>1357</v>
      </c>
    </row>
    <row r="1358" spans="1:1" x14ac:dyDescent="0.25">
      <c r="A1358" s="38">
        <v>1358</v>
      </c>
    </row>
    <row r="1359" spans="1:1" x14ac:dyDescent="0.25">
      <c r="A1359" s="38">
        <v>1359</v>
      </c>
    </row>
    <row r="1360" spans="1:1" x14ac:dyDescent="0.25">
      <c r="A1360" s="38">
        <v>1360</v>
      </c>
    </row>
    <row r="1361" spans="1:1" x14ac:dyDescent="0.25">
      <c r="A1361" s="38">
        <v>1361</v>
      </c>
    </row>
    <row r="1362" spans="1:1" x14ac:dyDescent="0.25">
      <c r="A1362" s="38">
        <v>1362</v>
      </c>
    </row>
    <row r="1363" spans="1:1" x14ac:dyDescent="0.25">
      <c r="A1363" s="38">
        <v>1363</v>
      </c>
    </row>
    <row r="1364" spans="1:1" x14ac:dyDescent="0.25">
      <c r="A1364" s="38">
        <v>1364</v>
      </c>
    </row>
    <row r="1365" spans="1:1" x14ac:dyDescent="0.25">
      <c r="A1365" s="38">
        <v>1365</v>
      </c>
    </row>
    <row r="1366" spans="1:1" x14ac:dyDescent="0.25">
      <c r="A1366" s="38">
        <v>1366</v>
      </c>
    </row>
    <row r="1367" spans="1:1" x14ac:dyDescent="0.25">
      <c r="A1367" s="38">
        <v>1367</v>
      </c>
    </row>
    <row r="1368" spans="1:1" x14ac:dyDescent="0.25">
      <c r="A1368" s="38">
        <v>1368</v>
      </c>
    </row>
    <row r="1369" spans="1:1" x14ac:dyDescent="0.25">
      <c r="A1369" s="38">
        <v>1369</v>
      </c>
    </row>
    <row r="1370" spans="1:1" x14ac:dyDescent="0.25">
      <c r="A1370" s="38">
        <v>1370</v>
      </c>
    </row>
    <row r="1371" spans="1:1" x14ac:dyDescent="0.25">
      <c r="A1371" s="38">
        <v>1371</v>
      </c>
    </row>
    <row r="1372" spans="1:1" x14ac:dyDescent="0.25">
      <c r="A1372" s="38">
        <v>1372</v>
      </c>
    </row>
    <row r="1373" spans="1:1" x14ac:dyDescent="0.25">
      <c r="A1373" s="38">
        <v>1373</v>
      </c>
    </row>
    <row r="1374" spans="1:1" x14ac:dyDescent="0.25">
      <c r="A1374" s="38">
        <v>1374</v>
      </c>
    </row>
    <row r="1375" spans="1:1" x14ac:dyDescent="0.25">
      <c r="A1375" s="38">
        <v>1375</v>
      </c>
    </row>
    <row r="1376" spans="1:1" x14ac:dyDescent="0.25">
      <c r="A1376" s="38">
        <v>1376</v>
      </c>
    </row>
    <row r="1377" spans="1:1" x14ac:dyDescent="0.25">
      <c r="A1377" s="38">
        <v>1377</v>
      </c>
    </row>
    <row r="1378" spans="1:1" x14ac:dyDescent="0.25">
      <c r="A1378" s="38">
        <v>1378</v>
      </c>
    </row>
    <row r="1379" spans="1:1" x14ac:dyDescent="0.25">
      <c r="A1379" s="38">
        <v>1379</v>
      </c>
    </row>
    <row r="1380" spans="1:1" x14ac:dyDescent="0.25">
      <c r="A1380" s="38">
        <v>1380</v>
      </c>
    </row>
    <row r="1381" spans="1:1" x14ac:dyDescent="0.25">
      <c r="A1381" s="38">
        <v>1381</v>
      </c>
    </row>
    <row r="1382" spans="1:1" x14ac:dyDescent="0.25">
      <c r="A1382" s="38">
        <v>1382</v>
      </c>
    </row>
    <row r="1383" spans="1:1" x14ac:dyDescent="0.25">
      <c r="A1383" s="38">
        <v>1383</v>
      </c>
    </row>
    <row r="1384" spans="1:1" x14ac:dyDescent="0.25">
      <c r="A1384" s="38">
        <v>1384</v>
      </c>
    </row>
    <row r="1385" spans="1:1" x14ac:dyDescent="0.25">
      <c r="A1385" s="38">
        <v>1385</v>
      </c>
    </row>
    <row r="1386" spans="1:1" x14ac:dyDescent="0.25">
      <c r="A1386" s="38">
        <v>1386</v>
      </c>
    </row>
    <row r="1387" spans="1:1" x14ac:dyDescent="0.25">
      <c r="A1387" s="38">
        <v>1387</v>
      </c>
    </row>
    <row r="1388" spans="1:1" x14ac:dyDescent="0.25">
      <c r="A1388" s="38">
        <v>1388</v>
      </c>
    </row>
    <row r="1389" spans="1:1" x14ac:dyDescent="0.25">
      <c r="A1389" s="38">
        <v>1389</v>
      </c>
    </row>
    <row r="1390" spans="1:1" x14ac:dyDescent="0.25">
      <c r="A1390" s="38">
        <v>1390</v>
      </c>
    </row>
    <row r="1391" spans="1:1" x14ac:dyDescent="0.25">
      <c r="A1391" s="38">
        <v>1391</v>
      </c>
    </row>
    <row r="1392" spans="1:1" x14ac:dyDescent="0.25">
      <c r="A1392" s="38">
        <v>1392</v>
      </c>
    </row>
    <row r="1393" spans="1:1" x14ac:dyDescent="0.25">
      <c r="A1393" s="38">
        <v>1393</v>
      </c>
    </row>
    <row r="1394" spans="1:1" x14ac:dyDescent="0.25">
      <c r="A1394" s="38">
        <v>1394</v>
      </c>
    </row>
    <row r="1395" spans="1:1" x14ac:dyDescent="0.25">
      <c r="A1395" s="38">
        <v>1395</v>
      </c>
    </row>
    <row r="1396" spans="1:1" x14ac:dyDescent="0.25">
      <c r="A1396" s="38">
        <v>1396</v>
      </c>
    </row>
    <row r="1397" spans="1:1" x14ac:dyDescent="0.25">
      <c r="A1397" s="38">
        <v>1397</v>
      </c>
    </row>
    <row r="1398" spans="1:1" x14ac:dyDescent="0.25">
      <c r="A1398" s="38">
        <v>1398</v>
      </c>
    </row>
    <row r="1399" spans="1:1" x14ac:dyDescent="0.25">
      <c r="A1399" s="38">
        <v>1399</v>
      </c>
    </row>
    <row r="1400" spans="1:1" x14ac:dyDescent="0.25">
      <c r="A1400" s="38">
        <v>1400</v>
      </c>
    </row>
    <row r="1401" spans="1:1" x14ac:dyDescent="0.25">
      <c r="A1401" s="38">
        <v>1401</v>
      </c>
    </row>
    <row r="1402" spans="1:1" x14ac:dyDescent="0.25">
      <c r="A1402" s="38">
        <v>1402</v>
      </c>
    </row>
    <row r="1403" spans="1:1" x14ac:dyDescent="0.25">
      <c r="A1403" s="38">
        <v>1403</v>
      </c>
    </row>
    <row r="1404" spans="1:1" x14ac:dyDescent="0.25">
      <c r="A1404" s="38">
        <v>1404</v>
      </c>
    </row>
    <row r="1405" spans="1:1" x14ac:dyDescent="0.25">
      <c r="A1405" s="38">
        <v>1405</v>
      </c>
    </row>
    <row r="1406" spans="1:1" x14ac:dyDescent="0.25">
      <c r="A1406" s="38">
        <v>1406</v>
      </c>
    </row>
    <row r="1407" spans="1:1" x14ac:dyDescent="0.25">
      <c r="A1407" s="38">
        <v>1407</v>
      </c>
    </row>
    <row r="1408" spans="1:1" x14ac:dyDescent="0.25">
      <c r="A1408" s="38">
        <v>1408</v>
      </c>
    </row>
    <row r="1409" spans="1:1" x14ac:dyDescent="0.25">
      <c r="A1409" s="38">
        <v>1409</v>
      </c>
    </row>
    <row r="1410" spans="1:1" x14ac:dyDescent="0.25">
      <c r="A1410" s="38">
        <v>1410</v>
      </c>
    </row>
    <row r="1411" spans="1:1" x14ac:dyDescent="0.25">
      <c r="A1411" s="38">
        <v>1411</v>
      </c>
    </row>
    <row r="1412" spans="1:1" x14ac:dyDescent="0.25">
      <c r="A1412" s="38">
        <v>1412</v>
      </c>
    </row>
    <row r="1413" spans="1:1" x14ac:dyDescent="0.25">
      <c r="A1413" s="38">
        <v>1413</v>
      </c>
    </row>
    <row r="1414" spans="1:1" x14ac:dyDescent="0.25">
      <c r="A1414" s="38">
        <v>1414</v>
      </c>
    </row>
    <row r="1415" spans="1:1" x14ac:dyDescent="0.25">
      <c r="A1415" s="38">
        <v>1415</v>
      </c>
    </row>
    <row r="1416" spans="1:1" x14ac:dyDescent="0.25">
      <c r="A1416" s="38">
        <v>1416</v>
      </c>
    </row>
    <row r="1417" spans="1:1" x14ac:dyDescent="0.25">
      <c r="A1417" s="38">
        <v>1417</v>
      </c>
    </row>
    <row r="1418" spans="1:1" x14ac:dyDescent="0.25">
      <c r="A1418" s="38">
        <v>1418</v>
      </c>
    </row>
    <row r="1419" spans="1:1" x14ac:dyDescent="0.25">
      <c r="A1419" s="38">
        <v>1419</v>
      </c>
    </row>
    <row r="1420" spans="1:1" x14ac:dyDescent="0.25">
      <c r="A1420" s="38">
        <v>1420</v>
      </c>
    </row>
    <row r="1421" spans="1:1" x14ac:dyDescent="0.25">
      <c r="A1421" s="38">
        <v>1421</v>
      </c>
    </row>
    <row r="1422" spans="1:1" x14ac:dyDescent="0.25">
      <c r="A1422" s="38">
        <v>1422</v>
      </c>
    </row>
    <row r="1423" spans="1:1" x14ac:dyDescent="0.25">
      <c r="A1423" s="38">
        <v>1423</v>
      </c>
    </row>
    <row r="1424" spans="1:1" x14ac:dyDescent="0.25">
      <c r="A1424" s="38">
        <v>1424</v>
      </c>
    </row>
    <row r="1425" spans="1:1" x14ac:dyDescent="0.25">
      <c r="A1425" s="38">
        <v>1425</v>
      </c>
    </row>
    <row r="1426" spans="1:1" x14ac:dyDescent="0.25">
      <c r="A1426" s="38">
        <v>1426</v>
      </c>
    </row>
    <row r="1427" spans="1:1" x14ac:dyDescent="0.25">
      <c r="A1427" s="38">
        <v>1427</v>
      </c>
    </row>
    <row r="1428" spans="1:1" x14ac:dyDescent="0.25">
      <c r="A1428" s="38">
        <v>1428</v>
      </c>
    </row>
    <row r="1429" spans="1:1" x14ac:dyDescent="0.25">
      <c r="A1429" s="38">
        <v>1429</v>
      </c>
    </row>
    <row r="1430" spans="1:1" x14ac:dyDescent="0.25">
      <c r="A1430" s="38">
        <v>1430</v>
      </c>
    </row>
    <row r="1431" spans="1:1" x14ac:dyDescent="0.25">
      <c r="A1431" s="38">
        <v>1431</v>
      </c>
    </row>
    <row r="1432" spans="1:1" x14ac:dyDescent="0.25">
      <c r="A1432" s="38">
        <v>1432</v>
      </c>
    </row>
    <row r="1433" spans="1:1" x14ac:dyDescent="0.25">
      <c r="A1433" s="38">
        <v>1433</v>
      </c>
    </row>
    <row r="1434" spans="1:1" x14ac:dyDescent="0.25">
      <c r="A1434" s="38">
        <v>1434</v>
      </c>
    </row>
    <row r="1435" spans="1:1" x14ac:dyDescent="0.25">
      <c r="A1435" s="38">
        <v>1435</v>
      </c>
    </row>
    <row r="1436" spans="1:1" x14ac:dyDescent="0.25">
      <c r="A1436" s="38">
        <v>1436</v>
      </c>
    </row>
    <row r="1437" spans="1:1" x14ac:dyDescent="0.25">
      <c r="A1437" s="38">
        <v>1437</v>
      </c>
    </row>
    <row r="1438" spans="1:1" x14ac:dyDescent="0.25">
      <c r="A1438" s="38">
        <v>1438</v>
      </c>
    </row>
    <row r="1439" spans="1:1" x14ac:dyDescent="0.25">
      <c r="A1439" s="38">
        <v>1439</v>
      </c>
    </row>
    <row r="1440" spans="1:1" x14ac:dyDescent="0.25">
      <c r="A1440" s="38">
        <v>1440</v>
      </c>
    </row>
    <row r="1441" spans="1:1" x14ac:dyDescent="0.25">
      <c r="A1441" s="38">
        <v>1441</v>
      </c>
    </row>
    <row r="1442" spans="1:1" x14ac:dyDescent="0.25">
      <c r="A1442" s="38">
        <v>1442</v>
      </c>
    </row>
    <row r="1443" spans="1:1" x14ac:dyDescent="0.25">
      <c r="A1443" s="38">
        <v>1443</v>
      </c>
    </row>
    <row r="1444" spans="1:1" x14ac:dyDescent="0.25">
      <c r="A1444" s="38">
        <v>1444</v>
      </c>
    </row>
    <row r="1445" spans="1:1" x14ac:dyDescent="0.25">
      <c r="A1445" s="38">
        <v>1445</v>
      </c>
    </row>
    <row r="1446" spans="1:1" x14ac:dyDescent="0.25">
      <c r="A1446" s="38">
        <v>1446</v>
      </c>
    </row>
    <row r="1447" spans="1:1" x14ac:dyDescent="0.25">
      <c r="A1447" s="38">
        <v>1447</v>
      </c>
    </row>
    <row r="1448" spans="1:1" x14ac:dyDescent="0.25">
      <c r="A1448" s="38">
        <v>1448</v>
      </c>
    </row>
    <row r="1449" spans="1:1" x14ac:dyDescent="0.25">
      <c r="A1449" s="38">
        <v>1449</v>
      </c>
    </row>
    <row r="1450" spans="1:1" x14ac:dyDescent="0.25">
      <c r="A1450" s="38">
        <v>1450</v>
      </c>
    </row>
    <row r="1451" spans="1:1" x14ac:dyDescent="0.25">
      <c r="A1451" s="38">
        <v>1451</v>
      </c>
    </row>
    <row r="1452" spans="1:1" x14ac:dyDescent="0.25">
      <c r="A1452" s="38">
        <v>1452</v>
      </c>
    </row>
    <row r="1453" spans="1:1" x14ac:dyDescent="0.25">
      <c r="A1453" s="38">
        <v>1453</v>
      </c>
    </row>
    <row r="1454" spans="1:1" x14ac:dyDescent="0.25">
      <c r="A1454" s="38">
        <v>1454</v>
      </c>
    </row>
    <row r="1455" spans="1:1" x14ac:dyDescent="0.25">
      <c r="A1455" s="38">
        <v>1455</v>
      </c>
    </row>
    <row r="1456" spans="1:1" x14ac:dyDescent="0.25">
      <c r="A1456" s="38">
        <v>1456</v>
      </c>
    </row>
    <row r="1457" spans="1:1" x14ac:dyDescent="0.25">
      <c r="A1457" s="38">
        <v>1457</v>
      </c>
    </row>
    <row r="1458" spans="1:1" x14ac:dyDescent="0.25">
      <c r="A1458" s="38">
        <v>1458</v>
      </c>
    </row>
    <row r="1459" spans="1:1" x14ac:dyDescent="0.25">
      <c r="A1459" s="38">
        <v>1459</v>
      </c>
    </row>
    <row r="1460" spans="1:1" x14ac:dyDescent="0.25">
      <c r="A1460" s="38">
        <v>1460</v>
      </c>
    </row>
    <row r="1461" spans="1:1" x14ac:dyDescent="0.25">
      <c r="A1461" s="38">
        <v>1461</v>
      </c>
    </row>
    <row r="1462" spans="1:1" x14ac:dyDescent="0.25">
      <c r="A1462" s="38">
        <v>1462</v>
      </c>
    </row>
    <row r="1463" spans="1:1" x14ac:dyDescent="0.25">
      <c r="A1463" s="38">
        <v>1463</v>
      </c>
    </row>
    <row r="1464" spans="1:1" x14ac:dyDescent="0.25">
      <c r="A1464" s="38">
        <v>1464</v>
      </c>
    </row>
    <row r="1465" spans="1:1" x14ac:dyDescent="0.25">
      <c r="A1465" s="38">
        <v>1465</v>
      </c>
    </row>
    <row r="1466" spans="1:1" x14ac:dyDescent="0.25">
      <c r="A1466" s="38">
        <v>1466</v>
      </c>
    </row>
    <row r="1467" spans="1:1" x14ac:dyDescent="0.25">
      <c r="A1467" s="38">
        <v>1467</v>
      </c>
    </row>
    <row r="1468" spans="1:1" x14ac:dyDescent="0.25">
      <c r="A1468" s="38">
        <v>1468</v>
      </c>
    </row>
    <row r="1469" spans="1:1" x14ac:dyDescent="0.25">
      <c r="A1469" s="38">
        <v>1469</v>
      </c>
    </row>
    <row r="1470" spans="1:1" x14ac:dyDescent="0.25">
      <c r="A1470" s="38">
        <v>1470</v>
      </c>
    </row>
    <row r="1471" spans="1:1" x14ac:dyDescent="0.25">
      <c r="A1471" s="38">
        <v>1471</v>
      </c>
    </row>
    <row r="1472" spans="1:1" x14ac:dyDescent="0.25">
      <c r="A1472" s="38">
        <v>1472</v>
      </c>
    </row>
    <row r="1473" spans="1:1" x14ac:dyDescent="0.25">
      <c r="A1473" s="38">
        <v>1473</v>
      </c>
    </row>
    <row r="1474" spans="1:1" x14ac:dyDescent="0.25">
      <c r="A1474" s="38">
        <v>1474</v>
      </c>
    </row>
    <row r="1475" spans="1:1" x14ac:dyDescent="0.25">
      <c r="A1475" s="38">
        <v>1475</v>
      </c>
    </row>
    <row r="1476" spans="1:1" x14ac:dyDescent="0.25">
      <c r="A1476" s="38">
        <v>1476</v>
      </c>
    </row>
    <row r="1477" spans="1:1" x14ac:dyDescent="0.25">
      <c r="A1477" s="38">
        <v>1477</v>
      </c>
    </row>
    <row r="1478" spans="1:1" x14ac:dyDescent="0.25">
      <c r="A1478" s="38">
        <v>1478</v>
      </c>
    </row>
    <row r="1479" spans="1:1" x14ac:dyDescent="0.25">
      <c r="A1479" s="38">
        <v>1479</v>
      </c>
    </row>
    <row r="1480" spans="1:1" x14ac:dyDescent="0.25">
      <c r="A1480" s="38">
        <v>1480</v>
      </c>
    </row>
    <row r="1481" spans="1:1" x14ac:dyDescent="0.25">
      <c r="A1481" s="38">
        <v>1481</v>
      </c>
    </row>
    <row r="1482" spans="1:1" x14ac:dyDescent="0.25">
      <c r="A1482" s="38">
        <v>1482</v>
      </c>
    </row>
    <row r="1483" spans="1:1" x14ac:dyDescent="0.25">
      <c r="A1483" s="38">
        <v>1483</v>
      </c>
    </row>
    <row r="1484" spans="1:1" x14ac:dyDescent="0.25">
      <c r="A1484" s="38">
        <v>1484</v>
      </c>
    </row>
    <row r="1485" spans="1:1" x14ac:dyDescent="0.25">
      <c r="A1485" s="38">
        <v>1485</v>
      </c>
    </row>
    <row r="1486" spans="1:1" x14ac:dyDescent="0.25">
      <c r="A1486" s="38">
        <v>1486</v>
      </c>
    </row>
    <row r="1487" spans="1:1" x14ac:dyDescent="0.25">
      <c r="A1487" s="38">
        <v>1487</v>
      </c>
    </row>
    <row r="1488" spans="1:1" x14ac:dyDescent="0.25">
      <c r="A1488" s="38">
        <v>1488</v>
      </c>
    </row>
    <row r="1489" spans="1:1" x14ac:dyDescent="0.25">
      <c r="A1489" s="38">
        <v>1489</v>
      </c>
    </row>
    <row r="1490" spans="1:1" x14ac:dyDescent="0.25">
      <c r="A1490" s="38">
        <v>1490</v>
      </c>
    </row>
    <row r="1491" spans="1:1" x14ac:dyDescent="0.25">
      <c r="A1491" s="38">
        <v>1491</v>
      </c>
    </row>
    <row r="1492" spans="1:1" x14ac:dyDescent="0.25">
      <c r="A1492" s="38">
        <v>1492</v>
      </c>
    </row>
    <row r="1493" spans="1:1" x14ac:dyDescent="0.25">
      <c r="A1493" s="38">
        <v>1493</v>
      </c>
    </row>
    <row r="1494" spans="1:1" x14ac:dyDescent="0.25">
      <c r="A1494" s="38">
        <v>1494</v>
      </c>
    </row>
    <row r="1495" spans="1:1" x14ac:dyDescent="0.25">
      <c r="A1495" s="38">
        <v>1495</v>
      </c>
    </row>
    <row r="1496" spans="1:1" x14ac:dyDescent="0.25">
      <c r="A1496" s="38">
        <v>1496</v>
      </c>
    </row>
    <row r="1497" spans="1:1" x14ac:dyDescent="0.25">
      <c r="A1497" s="38">
        <v>1497</v>
      </c>
    </row>
    <row r="1498" spans="1:1" x14ac:dyDescent="0.25">
      <c r="A1498" s="38">
        <v>1498</v>
      </c>
    </row>
    <row r="1499" spans="1:1" x14ac:dyDescent="0.25">
      <c r="A1499" s="38">
        <v>1499</v>
      </c>
    </row>
    <row r="1500" spans="1:1" x14ac:dyDescent="0.25">
      <c r="A1500" s="38">
        <v>1500</v>
      </c>
    </row>
    <row r="1501" spans="1:1" x14ac:dyDescent="0.25">
      <c r="A1501" s="38">
        <v>1501</v>
      </c>
    </row>
    <row r="1502" spans="1:1" x14ac:dyDescent="0.25">
      <c r="A1502" s="38">
        <v>1502</v>
      </c>
    </row>
    <row r="1503" spans="1:1" x14ac:dyDescent="0.25">
      <c r="A1503" s="38">
        <v>1503</v>
      </c>
    </row>
    <row r="1504" spans="1:1" x14ac:dyDescent="0.25">
      <c r="A1504" s="38">
        <v>1504</v>
      </c>
    </row>
    <row r="1505" spans="1:1" x14ac:dyDescent="0.25">
      <c r="A1505" s="38">
        <v>1505</v>
      </c>
    </row>
    <row r="1506" spans="1:1" x14ac:dyDescent="0.25">
      <c r="A1506" s="38">
        <v>1506</v>
      </c>
    </row>
    <row r="1507" spans="1:1" x14ac:dyDescent="0.25">
      <c r="A1507" s="38">
        <v>1507</v>
      </c>
    </row>
    <row r="1508" spans="1:1" x14ac:dyDescent="0.25">
      <c r="A1508" s="38">
        <v>1508</v>
      </c>
    </row>
    <row r="1509" spans="1:1" x14ac:dyDescent="0.25">
      <c r="A1509" s="38">
        <v>1509</v>
      </c>
    </row>
    <row r="1510" spans="1:1" x14ac:dyDescent="0.25">
      <c r="A1510" s="38">
        <v>1510</v>
      </c>
    </row>
    <row r="1511" spans="1:1" x14ac:dyDescent="0.25">
      <c r="A1511" s="38">
        <v>1511</v>
      </c>
    </row>
    <row r="1512" spans="1:1" x14ac:dyDescent="0.25">
      <c r="A1512" s="38">
        <v>1512</v>
      </c>
    </row>
    <row r="1513" spans="1:1" x14ac:dyDescent="0.25">
      <c r="A1513" s="38">
        <v>1513</v>
      </c>
    </row>
    <row r="1514" spans="1:1" x14ac:dyDescent="0.25">
      <c r="A1514" s="38">
        <v>1514</v>
      </c>
    </row>
    <row r="1515" spans="1:1" x14ac:dyDescent="0.25">
      <c r="A1515" s="38">
        <v>1515</v>
      </c>
    </row>
    <row r="1516" spans="1:1" x14ac:dyDescent="0.25">
      <c r="A1516" s="38">
        <v>1516</v>
      </c>
    </row>
    <row r="1517" spans="1:1" x14ac:dyDescent="0.25">
      <c r="A1517" s="38">
        <v>1517</v>
      </c>
    </row>
    <row r="1518" spans="1:1" x14ac:dyDescent="0.25">
      <c r="A1518" s="38">
        <v>1518</v>
      </c>
    </row>
    <row r="1519" spans="1:1" x14ac:dyDescent="0.25">
      <c r="A1519" s="38">
        <v>1519</v>
      </c>
    </row>
    <row r="1520" spans="1:1" x14ac:dyDescent="0.25">
      <c r="A1520" s="38">
        <v>1520</v>
      </c>
    </row>
    <row r="1521" spans="1:1" x14ac:dyDescent="0.25">
      <c r="A1521" s="38">
        <v>1521</v>
      </c>
    </row>
    <row r="1522" spans="1:1" x14ac:dyDescent="0.25">
      <c r="A1522" s="38">
        <v>1522</v>
      </c>
    </row>
    <row r="1523" spans="1:1" x14ac:dyDescent="0.25">
      <c r="A1523" s="38">
        <v>1523</v>
      </c>
    </row>
    <row r="1524" spans="1:1" x14ac:dyDescent="0.25">
      <c r="A1524" s="38">
        <v>1524</v>
      </c>
    </row>
    <row r="1525" spans="1:1" x14ac:dyDescent="0.25">
      <c r="A1525" s="38">
        <v>1525</v>
      </c>
    </row>
    <row r="1526" spans="1:1" x14ac:dyDescent="0.25">
      <c r="A1526" s="38">
        <v>1526</v>
      </c>
    </row>
    <row r="1527" spans="1:1" x14ac:dyDescent="0.25">
      <c r="A1527" s="38">
        <v>1527</v>
      </c>
    </row>
    <row r="1528" spans="1:1" x14ac:dyDescent="0.25">
      <c r="A1528" s="38">
        <v>1528</v>
      </c>
    </row>
    <row r="1529" spans="1:1" x14ac:dyDescent="0.25">
      <c r="A1529" s="38">
        <v>1529</v>
      </c>
    </row>
    <row r="1530" spans="1:1" x14ac:dyDescent="0.25">
      <c r="A1530" s="38">
        <v>1530</v>
      </c>
    </row>
    <row r="1531" spans="1:1" x14ac:dyDescent="0.25">
      <c r="A1531" s="38">
        <v>1531</v>
      </c>
    </row>
    <row r="1532" spans="1:1" x14ac:dyDescent="0.25">
      <c r="A1532" s="38">
        <v>1532</v>
      </c>
    </row>
    <row r="1533" spans="1:1" x14ac:dyDescent="0.25">
      <c r="A1533" s="38">
        <v>1533</v>
      </c>
    </row>
    <row r="1534" spans="1:1" x14ac:dyDescent="0.25">
      <c r="A1534" s="38">
        <v>1534</v>
      </c>
    </row>
    <row r="1535" spans="1:1" x14ac:dyDescent="0.25">
      <c r="A1535" s="38">
        <v>1535</v>
      </c>
    </row>
    <row r="1536" spans="1:1" x14ac:dyDescent="0.25">
      <c r="A1536" s="38">
        <v>1536</v>
      </c>
    </row>
    <row r="1537" spans="1:1" x14ac:dyDescent="0.25">
      <c r="A1537" s="38">
        <v>1537</v>
      </c>
    </row>
    <row r="1538" spans="1:1" x14ac:dyDescent="0.25">
      <c r="A1538" s="38">
        <v>1538</v>
      </c>
    </row>
    <row r="1539" spans="1:1" x14ac:dyDescent="0.25">
      <c r="A1539" s="38">
        <v>1539</v>
      </c>
    </row>
    <row r="1540" spans="1:1" x14ac:dyDescent="0.25">
      <c r="A1540" s="38">
        <v>1540</v>
      </c>
    </row>
    <row r="1541" spans="1:1" x14ac:dyDescent="0.25">
      <c r="A1541" s="38">
        <v>1541</v>
      </c>
    </row>
    <row r="1542" spans="1:1" x14ac:dyDescent="0.25">
      <c r="A1542" s="38">
        <v>1542</v>
      </c>
    </row>
    <row r="1543" spans="1:1" x14ac:dyDescent="0.25">
      <c r="A1543" s="38">
        <v>1543</v>
      </c>
    </row>
    <row r="1544" spans="1:1" x14ac:dyDescent="0.25">
      <c r="A1544" s="38">
        <v>1544</v>
      </c>
    </row>
    <row r="1545" spans="1:1" x14ac:dyDescent="0.25">
      <c r="A1545" s="38">
        <v>1545</v>
      </c>
    </row>
    <row r="1546" spans="1:1" x14ac:dyDescent="0.25">
      <c r="A1546" s="38">
        <v>1546</v>
      </c>
    </row>
    <row r="1547" spans="1:1" x14ac:dyDescent="0.25">
      <c r="A1547" s="38">
        <v>1547</v>
      </c>
    </row>
    <row r="1548" spans="1:1" x14ac:dyDescent="0.25">
      <c r="A1548" s="38">
        <v>1548</v>
      </c>
    </row>
    <row r="1549" spans="1:1" x14ac:dyDescent="0.25">
      <c r="A1549" s="38">
        <v>1549</v>
      </c>
    </row>
    <row r="1550" spans="1:1" x14ac:dyDescent="0.25">
      <c r="A1550" s="38">
        <v>1550</v>
      </c>
    </row>
    <row r="1551" spans="1:1" x14ac:dyDescent="0.25">
      <c r="A1551" s="38">
        <v>1551</v>
      </c>
    </row>
    <row r="1552" spans="1:1" x14ac:dyDescent="0.25">
      <c r="A1552" s="38">
        <v>1552</v>
      </c>
    </row>
    <row r="1553" spans="1:1" x14ac:dyDescent="0.25">
      <c r="A1553" s="38">
        <v>1553</v>
      </c>
    </row>
    <row r="1554" spans="1:1" x14ac:dyDescent="0.25">
      <c r="A1554" s="38">
        <v>1554</v>
      </c>
    </row>
    <row r="1555" spans="1:1" x14ac:dyDescent="0.25">
      <c r="A1555" s="38">
        <v>1555</v>
      </c>
    </row>
    <row r="1556" spans="1:1" x14ac:dyDescent="0.25">
      <c r="A1556" s="38">
        <v>1556</v>
      </c>
    </row>
    <row r="1557" spans="1:1" x14ac:dyDescent="0.25">
      <c r="A1557" s="38">
        <v>1557</v>
      </c>
    </row>
    <row r="1558" spans="1:1" x14ac:dyDescent="0.25">
      <c r="A1558" s="38">
        <v>1558</v>
      </c>
    </row>
    <row r="1559" spans="1:1" x14ac:dyDescent="0.25">
      <c r="A1559" s="38">
        <v>1559</v>
      </c>
    </row>
    <row r="1560" spans="1:1" x14ac:dyDescent="0.25">
      <c r="A1560" s="38">
        <v>1560</v>
      </c>
    </row>
    <row r="1561" spans="1:1" x14ac:dyDescent="0.25">
      <c r="A1561" s="38">
        <v>1561</v>
      </c>
    </row>
    <row r="1562" spans="1:1" x14ac:dyDescent="0.25">
      <c r="A1562" s="38">
        <v>1562</v>
      </c>
    </row>
    <row r="1563" spans="1:1" x14ac:dyDescent="0.25">
      <c r="A1563" s="38">
        <v>1563</v>
      </c>
    </row>
    <row r="1564" spans="1:1" x14ac:dyDescent="0.25">
      <c r="A1564" s="38">
        <v>1564</v>
      </c>
    </row>
    <row r="1565" spans="1:1" x14ac:dyDescent="0.25">
      <c r="A1565" s="38">
        <v>1565</v>
      </c>
    </row>
    <row r="1566" spans="1:1" x14ac:dyDescent="0.25">
      <c r="A1566" s="38">
        <v>1566</v>
      </c>
    </row>
    <row r="1567" spans="1:1" x14ac:dyDescent="0.25">
      <c r="A1567" s="38">
        <v>1567</v>
      </c>
    </row>
    <row r="1568" spans="1:1" x14ac:dyDescent="0.25">
      <c r="A1568" s="38">
        <v>1568</v>
      </c>
    </row>
    <row r="1569" spans="1:1" x14ac:dyDescent="0.25">
      <c r="A1569" s="38">
        <v>1569</v>
      </c>
    </row>
    <row r="1570" spans="1:1" x14ac:dyDescent="0.25">
      <c r="A1570" s="38">
        <v>1570</v>
      </c>
    </row>
    <row r="1571" spans="1:1" x14ac:dyDescent="0.25">
      <c r="A1571" s="38">
        <v>1571</v>
      </c>
    </row>
    <row r="1572" spans="1:1" x14ac:dyDescent="0.25">
      <c r="A1572" s="38">
        <v>1572</v>
      </c>
    </row>
    <row r="1573" spans="1:1" x14ac:dyDescent="0.25">
      <c r="A1573" s="38">
        <v>1573</v>
      </c>
    </row>
    <row r="1574" spans="1:1" x14ac:dyDescent="0.25">
      <c r="A1574" s="38">
        <v>1574</v>
      </c>
    </row>
    <row r="1575" spans="1:1" x14ac:dyDescent="0.25">
      <c r="A1575" s="38">
        <v>1575</v>
      </c>
    </row>
    <row r="1576" spans="1:1" x14ac:dyDescent="0.25">
      <c r="A1576" s="38">
        <v>1576</v>
      </c>
    </row>
    <row r="1577" spans="1:1" x14ac:dyDescent="0.25">
      <c r="A1577" s="38">
        <v>1577</v>
      </c>
    </row>
    <row r="1578" spans="1:1" x14ac:dyDescent="0.25">
      <c r="A1578" s="38">
        <v>1578</v>
      </c>
    </row>
    <row r="1579" spans="1:1" x14ac:dyDescent="0.25">
      <c r="A1579" s="38">
        <v>1579</v>
      </c>
    </row>
    <row r="1580" spans="1:1" x14ac:dyDescent="0.25">
      <c r="A1580" s="38">
        <v>1580</v>
      </c>
    </row>
    <row r="1581" spans="1:1" x14ac:dyDescent="0.25">
      <c r="A1581" s="38">
        <v>1581</v>
      </c>
    </row>
    <row r="1582" spans="1:1" x14ac:dyDescent="0.25">
      <c r="A1582" s="38">
        <v>1582</v>
      </c>
    </row>
    <row r="1583" spans="1:1" x14ac:dyDescent="0.25">
      <c r="A1583" s="38">
        <v>1583</v>
      </c>
    </row>
    <row r="1584" spans="1:1" x14ac:dyDescent="0.25">
      <c r="A1584" s="38">
        <v>1584</v>
      </c>
    </row>
    <row r="1585" spans="1:1" x14ac:dyDescent="0.25">
      <c r="A1585" s="38">
        <v>1585</v>
      </c>
    </row>
    <row r="1586" spans="1:1" x14ac:dyDescent="0.25">
      <c r="A1586" s="38">
        <v>1586</v>
      </c>
    </row>
    <row r="1587" spans="1:1" x14ac:dyDescent="0.25">
      <c r="A1587" s="38">
        <v>1587</v>
      </c>
    </row>
    <row r="1588" spans="1:1" x14ac:dyDescent="0.25">
      <c r="A1588" s="38">
        <v>1588</v>
      </c>
    </row>
    <row r="1589" spans="1:1" x14ac:dyDescent="0.25">
      <c r="A1589" s="38">
        <v>1589</v>
      </c>
    </row>
    <row r="1590" spans="1:1" x14ac:dyDescent="0.25">
      <c r="A1590" s="38">
        <v>1590</v>
      </c>
    </row>
    <row r="1591" spans="1:1" x14ac:dyDescent="0.25">
      <c r="A1591" s="38">
        <v>1591</v>
      </c>
    </row>
    <row r="1592" spans="1:1" x14ac:dyDescent="0.25">
      <c r="A1592" s="38">
        <v>1592</v>
      </c>
    </row>
    <row r="1593" spans="1:1" x14ac:dyDescent="0.25">
      <c r="A1593" s="38">
        <v>1593</v>
      </c>
    </row>
    <row r="1594" spans="1:1" x14ac:dyDescent="0.25">
      <c r="A1594" s="38">
        <v>1594</v>
      </c>
    </row>
    <row r="1595" spans="1:1" x14ac:dyDescent="0.25">
      <c r="A1595" s="38">
        <v>1595</v>
      </c>
    </row>
    <row r="1596" spans="1:1" x14ac:dyDescent="0.25">
      <c r="A1596" s="38">
        <v>1596</v>
      </c>
    </row>
    <row r="1597" spans="1:1" x14ac:dyDescent="0.25">
      <c r="A1597" s="38">
        <v>1597</v>
      </c>
    </row>
    <row r="1598" spans="1:1" x14ac:dyDescent="0.25">
      <c r="A1598" s="38">
        <v>1598</v>
      </c>
    </row>
    <row r="1599" spans="1:1" x14ac:dyDescent="0.25">
      <c r="A1599" s="38">
        <v>1599</v>
      </c>
    </row>
    <row r="1600" spans="1:1" x14ac:dyDescent="0.25">
      <c r="A1600" s="38">
        <v>1600</v>
      </c>
    </row>
    <row r="1601" spans="1:1" x14ac:dyDescent="0.25">
      <c r="A1601" s="38">
        <v>1601</v>
      </c>
    </row>
    <row r="1602" spans="1:1" x14ac:dyDescent="0.25">
      <c r="A1602" s="38">
        <v>1602</v>
      </c>
    </row>
    <row r="1603" spans="1:1" x14ac:dyDescent="0.25">
      <c r="A1603" s="38">
        <v>1603</v>
      </c>
    </row>
    <row r="1604" spans="1:1" x14ac:dyDescent="0.25">
      <c r="A1604" s="38">
        <v>1604</v>
      </c>
    </row>
    <row r="1605" spans="1:1" x14ac:dyDescent="0.25">
      <c r="A1605" s="38">
        <v>1605</v>
      </c>
    </row>
    <row r="1606" spans="1:1" x14ac:dyDescent="0.25">
      <c r="A1606" s="38">
        <v>1606</v>
      </c>
    </row>
    <row r="1607" spans="1:1" x14ac:dyDescent="0.25">
      <c r="A1607" s="38">
        <v>1607</v>
      </c>
    </row>
    <row r="1608" spans="1:1" x14ac:dyDescent="0.25">
      <c r="A1608" s="38">
        <v>1608</v>
      </c>
    </row>
    <row r="1609" spans="1:1" x14ac:dyDescent="0.25">
      <c r="A1609" s="38">
        <v>1609</v>
      </c>
    </row>
    <row r="1610" spans="1:1" x14ac:dyDescent="0.25">
      <c r="A1610" s="38">
        <v>1610</v>
      </c>
    </row>
    <row r="1611" spans="1:1" x14ac:dyDescent="0.25">
      <c r="A1611" s="38">
        <v>1611</v>
      </c>
    </row>
    <row r="1612" spans="1:1" x14ac:dyDescent="0.25">
      <c r="A1612" s="38">
        <v>1612</v>
      </c>
    </row>
    <row r="1613" spans="1:1" x14ac:dyDescent="0.25">
      <c r="A1613" s="38">
        <v>1613</v>
      </c>
    </row>
    <row r="1614" spans="1:1" x14ac:dyDescent="0.25">
      <c r="A1614" s="38">
        <v>1614</v>
      </c>
    </row>
    <row r="1615" spans="1:1" x14ac:dyDescent="0.25">
      <c r="A1615" s="38">
        <v>1615</v>
      </c>
    </row>
    <row r="1616" spans="1:1" x14ac:dyDescent="0.25">
      <c r="A1616" s="38">
        <v>1616</v>
      </c>
    </row>
    <row r="1617" spans="1:1" x14ac:dyDescent="0.25">
      <c r="A1617" s="38">
        <v>1617</v>
      </c>
    </row>
    <row r="1618" spans="1:1" x14ac:dyDescent="0.25">
      <c r="A1618" s="38">
        <v>1618</v>
      </c>
    </row>
    <row r="1619" spans="1:1" x14ac:dyDescent="0.25">
      <c r="A1619" s="38">
        <v>1619</v>
      </c>
    </row>
    <row r="1620" spans="1:1" x14ac:dyDescent="0.25">
      <c r="A1620" s="38">
        <v>1620</v>
      </c>
    </row>
    <row r="1621" spans="1:1" x14ac:dyDescent="0.25">
      <c r="A1621" s="38">
        <v>1621</v>
      </c>
    </row>
    <row r="1622" spans="1:1" x14ac:dyDescent="0.25">
      <c r="A1622" s="38">
        <v>1622</v>
      </c>
    </row>
    <row r="1623" spans="1:1" x14ac:dyDescent="0.25">
      <c r="A1623" s="38">
        <v>1623</v>
      </c>
    </row>
    <row r="1624" spans="1:1" x14ac:dyDescent="0.25">
      <c r="A1624" s="38">
        <v>1624</v>
      </c>
    </row>
    <row r="1625" spans="1:1" x14ac:dyDescent="0.25">
      <c r="A1625" s="38">
        <v>1625</v>
      </c>
    </row>
    <row r="1626" spans="1:1" x14ac:dyDescent="0.25">
      <c r="A1626" s="38">
        <v>1626</v>
      </c>
    </row>
    <row r="1627" spans="1:1" x14ac:dyDescent="0.25">
      <c r="A1627" s="38">
        <v>1627</v>
      </c>
    </row>
    <row r="1628" spans="1:1" x14ac:dyDescent="0.25">
      <c r="A1628" s="38">
        <v>1628</v>
      </c>
    </row>
    <row r="1629" spans="1:1" x14ac:dyDescent="0.25">
      <c r="A1629" s="38">
        <v>1629</v>
      </c>
    </row>
    <row r="1630" spans="1:1" x14ac:dyDescent="0.25">
      <c r="A1630" s="38">
        <v>1630</v>
      </c>
    </row>
    <row r="1631" spans="1:1" x14ac:dyDescent="0.25">
      <c r="A1631" s="38">
        <v>1631</v>
      </c>
    </row>
    <row r="1632" spans="1:1" x14ac:dyDescent="0.25">
      <c r="A1632" s="38">
        <v>1632</v>
      </c>
    </row>
    <row r="1633" spans="1:1" x14ac:dyDescent="0.25">
      <c r="A1633" s="38">
        <v>1633</v>
      </c>
    </row>
    <row r="1634" spans="1:1" x14ac:dyDescent="0.25">
      <c r="A1634" s="38">
        <v>1634</v>
      </c>
    </row>
    <row r="1635" spans="1:1" x14ac:dyDescent="0.25">
      <c r="A1635" s="38">
        <v>1635</v>
      </c>
    </row>
    <row r="1636" spans="1:1" x14ac:dyDescent="0.25">
      <c r="A1636" s="38">
        <v>1636</v>
      </c>
    </row>
    <row r="1637" spans="1:1" x14ac:dyDescent="0.25">
      <c r="A1637" s="38">
        <v>1637</v>
      </c>
    </row>
    <row r="1638" spans="1:1" x14ac:dyDescent="0.25">
      <c r="A1638" s="38">
        <v>1638</v>
      </c>
    </row>
    <row r="1639" spans="1:1" x14ac:dyDescent="0.25">
      <c r="A1639" s="38">
        <v>1639</v>
      </c>
    </row>
    <row r="1640" spans="1:1" x14ac:dyDescent="0.25">
      <c r="A1640" s="38">
        <v>1640</v>
      </c>
    </row>
    <row r="1641" spans="1:1" x14ac:dyDescent="0.25">
      <c r="A1641" s="38">
        <v>1641</v>
      </c>
    </row>
    <row r="1642" spans="1:1" x14ac:dyDescent="0.25">
      <c r="A1642" s="38">
        <v>1642</v>
      </c>
    </row>
    <row r="1643" spans="1:1" x14ac:dyDescent="0.25">
      <c r="A1643" s="38">
        <v>1643</v>
      </c>
    </row>
    <row r="1644" spans="1:1" x14ac:dyDescent="0.25">
      <c r="A1644" s="38">
        <v>1644</v>
      </c>
    </row>
    <row r="1645" spans="1:1" x14ac:dyDescent="0.25">
      <c r="A1645" s="38">
        <v>1645</v>
      </c>
    </row>
    <row r="1646" spans="1:1" x14ac:dyDescent="0.25">
      <c r="A1646" s="38">
        <v>1646</v>
      </c>
    </row>
    <row r="1647" spans="1:1" x14ac:dyDescent="0.25">
      <c r="A1647" s="38">
        <v>1647</v>
      </c>
    </row>
    <row r="1648" spans="1:1" x14ac:dyDescent="0.25">
      <c r="A1648" s="38">
        <v>1648</v>
      </c>
    </row>
    <row r="1649" spans="1:1" x14ac:dyDescent="0.25">
      <c r="A1649" s="38">
        <v>1649</v>
      </c>
    </row>
    <row r="1650" spans="1:1" x14ac:dyDescent="0.25">
      <c r="A1650" s="38">
        <v>1650</v>
      </c>
    </row>
    <row r="1651" spans="1:1" x14ac:dyDescent="0.25">
      <c r="A1651" s="38">
        <v>1651</v>
      </c>
    </row>
    <row r="1652" spans="1:1" x14ac:dyDescent="0.25">
      <c r="A1652" s="38">
        <v>1652</v>
      </c>
    </row>
    <row r="1653" spans="1:1" x14ac:dyDescent="0.25">
      <c r="A1653" s="38">
        <v>1653</v>
      </c>
    </row>
    <row r="1654" spans="1:1" x14ac:dyDescent="0.25">
      <c r="A1654" s="38">
        <v>1654</v>
      </c>
    </row>
    <row r="1655" spans="1:1" x14ac:dyDescent="0.25">
      <c r="A1655" s="38">
        <v>1655</v>
      </c>
    </row>
    <row r="1656" spans="1:1" x14ac:dyDescent="0.25">
      <c r="A1656" s="38">
        <v>1656</v>
      </c>
    </row>
    <row r="1657" spans="1:1" x14ac:dyDescent="0.25">
      <c r="A1657" s="38">
        <v>1657</v>
      </c>
    </row>
    <row r="1658" spans="1:1" x14ac:dyDescent="0.25">
      <c r="A1658" s="38">
        <v>1658</v>
      </c>
    </row>
    <row r="1659" spans="1:1" x14ac:dyDescent="0.25">
      <c r="A1659" s="38">
        <v>1659</v>
      </c>
    </row>
    <row r="1660" spans="1:1" x14ac:dyDescent="0.25">
      <c r="A1660" s="38">
        <v>1660</v>
      </c>
    </row>
    <row r="1661" spans="1:1" x14ac:dyDescent="0.25">
      <c r="A1661" s="38">
        <v>1661</v>
      </c>
    </row>
    <row r="1662" spans="1:1" x14ac:dyDescent="0.25">
      <c r="A1662" s="38">
        <v>1662</v>
      </c>
    </row>
    <row r="1663" spans="1:1" x14ac:dyDescent="0.25">
      <c r="A1663" s="38">
        <v>1663</v>
      </c>
    </row>
    <row r="1664" spans="1:1" x14ac:dyDescent="0.25">
      <c r="A1664" s="38">
        <v>1664</v>
      </c>
    </row>
    <row r="1665" spans="1:1" x14ac:dyDescent="0.25">
      <c r="A1665" s="38">
        <v>1665</v>
      </c>
    </row>
    <row r="1666" spans="1:1" x14ac:dyDescent="0.25">
      <c r="A1666" s="38">
        <v>1666</v>
      </c>
    </row>
    <row r="1667" spans="1:1" x14ac:dyDescent="0.25">
      <c r="A1667" s="38">
        <v>1667</v>
      </c>
    </row>
    <row r="1668" spans="1:1" x14ac:dyDescent="0.25">
      <c r="A1668" s="38">
        <v>1668</v>
      </c>
    </row>
    <row r="1669" spans="1:1" x14ac:dyDescent="0.25">
      <c r="A1669" s="38">
        <v>1669</v>
      </c>
    </row>
    <row r="1670" spans="1:1" x14ac:dyDescent="0.25">
      <c r="A1670" s="38">
        <v>1670</v>
      </c>
    </row>
    <row r="1671" spans="1:1" x14ac:dyDescent="0.25">
      <c r="A1671" s="38">
        <v>1671</v>
      </c>
    </row>
    <row r="1672" spans="1:1" x14ac:dyDescent="0.25">
      <c r="A1672" s="38">
        <v>1672</v>
      </c>
    </row>
    <row r="1673" spans="1:1" x14ac:dyDescent="0.25">
      <c r="A1673" s="38">
        <v>1673</v>
      </c>
    </row>
    <row r="1674" spans="1:1" x14ac:dyDescent="0.25">
      <c r="A1674" s="38">
        <v>1674</v>
      </c>
    </row>
    <row r="1675" spans="1:1" x14ac:dyDescent="0.25">
      <c r="A1675" s="38">
        <v>1675</v>
      </c>
    </row>
    <row r="1676" spans="1:1" x14ac:dyDescent="0.25">
      <c r="A1676" s="38">
        <v>1676</v>
      </c>
    </row>
    <row r="1677" spans="1:1" x14ac:dyDescent="0.25">
      <c r="A1677" s="38">
        <v>1677</v>
      </c>
    </row>
    <row r="1678" spans="1:1" x14ac:dyDescent="0.25">
      <c r="A1678" s="38">
        <v>1678</v>
      </c>
    </row>
    <row r="1679" spans="1:1" x14ac:dyDescent="0.25">
      <c r="A1679" s="38">
        <v>1679</v>
      </c>
    </row>
    <row r="1680" spans="1:1" x14ac:dyDescent="0.25">
      <c r="A1680" s="38">
        <v>1680</v>
      </c>
    </row>
    <row r="1681" spans="1:1" x14ac:dyDescent="0.25">
      <c r="A1681" s="38">
        <v>1681</v>
      </c>
    </row>
    <row r="1682" spans="1:1" x14ac:dyDescent="0.25">
      <c r="A1682" s="38">
        <v>1682</v>
      </c>
    </row>
    <row r="1683" spans="1:1" x14ac:dyDescent="0.25">
      <c r="A1683" s="38">
        <v>1683</v>
      </c>
    </row>
    <row r="1684" spans="1:1" x14ac:dyDescent="0.25">
      <c r="A1684" s="38">
        <v>1684</v>
      </c>
    </row>
    <row r="1685" spans="1:1" x14ac:dyDescent="0.25">
      <c r="A1685" s="38">
        <v>1685</v>
      </c>
    </row>
    <row r="1686" spans="1:1" x14ac:dyDescent="0.25">
      <c r="A1686" s="38">
        <v>1686</v>
      </c>
    </row>
    <row r="1687" spans="1:1" x14ac:dyDescent="0.25">
      <c r="A1687" s="38">
        <v>1687</v>
      </c>
    </row>
    <row r="1688" spans="1:1" x14ac:dyDescent="0.25">
      <c r="A1688" s="38">
        <v>1688</v>
      </c>
    </row>
    <row r="1689" spans="1:1" x14ac:dyDescent="0.25">
      <c r="A1689" s="38">
        <v>1689</v>
      </c>
    </row>
    <row r="1690" spans="1:1" x14ac:dyDescent="0.25">
      <c r="A1690" s="38">
        <v>1690</v>
      </c>
    </row>
    <row r="1691" spans="1:1" x14ac:dyDescent="0.25">
      <c r="A1691" s="38">
        <v>1691</v>
      </c>
    </row>
    <row r="1692" spans="1:1" x14ac:dyDescent="0.25">
      <c r="A1692" s="38">
        <v>1692</v>
      </c>
    </row>
    <row r="1693" spans="1:1" x14ac:dyDescent="0.25">
      <c r="A1693" s="38">
        <v>1693</v>
      </c>
    </row>
    <row r="1694" spans="1:1" x14ac:dyDescent="0.25">
      <c r="A1694" s="38">
        <v>1694</v>
      </c>
    </row>
    <row r="1695" spans="1:1" x14ac:dyDescent="0.25">
      <c r="A1695" s="38">
        <v>1695</v>
      </c>
    </row>
    <row r="1696" spans="1:1" x14ac:dyDescent="0.25">
      <c r="A1696" s="38">
        <v>1696</v>
      </c>
    </row>
    <row r="1697" spans="1:1" x14ac:dyDescent="0.25">
      <c r="A1697" s="38">
        <v>1697</v>
      </c>
    </row>
    <row r="1698" spans="1:1" x14ac:dyDescent="0.25">
      <c r="A1698" s="38">
        <v>1698</v>
      </c>
    </row>
    <row r="1699" spans="1:1" x14ac:dyDescent="0.25">
      <c r="A1699" s="38">
        <v>1699</v>
      </c>
    </row>
    <row r="1700" spans="1:1" x14ac:dyDescent="0.25">
      <c r="A1700" s="38">
        <v>1700</v>
      </c>
    </row>
    <row r="1701" spans="1:1" x14ac:dyDescent="0.25">
      <c r="A1701" s="38">
        <v>1701</v>
      </c>
    </row>
    <row r="1702" spans="1:1" x14ac:dyDescent="0.25">
      <c r="A1702" s="38">
        <v>1702</v>
      </c>
    </row>
    <row r="1703" spans="1:1" x14ac:dyDescent="0.25">
      <c r="A1703" s="38">
        <v>1703</v>
      </c>
    </row>
    <row r="1704" spans="1:1" x14ac:dyDescent="0.25">
      <c r="A1704" s="38">
        <v>1704</v>
      </c>
    </row>
    <row r="1705" spans="1:1" x14ac:dyDescent="0.25">
      <c r="A1705" s="38">
        <v>1705</v>
      </c>
    </row>
    <row r="1706" spans="1:1" x14ac:dyDescent="0.25">
      <c r="A1706" s="38">
        <v>1706</v>
      </c>
    </row>
    <row r="1707" spans="1:1" x14ac:dyDescent="0.25">
      <c r="A1707" s="38">
        <v>1707</v>
      </c>
    </row>
    <row r="1708" spans="1:1" x14ac:dyDescent="0.25">
      <c r="A1708" s="38">
        <v>1708</v>
      </c>
    </row>
    <row r="1709" spans="1:1" x14ac:dyDescent="0.25">
      <c r="A1709" s="38">
        <v>1709</v>
      </c>
    </row>
    <row r="1710" spans="1:1" x14ac:dyDescent="0.25">
      <c r="A1710" s="38">
        <v>1710</v>
      </c>
    </row>
    <row r="1711" spans="1:1" x14ac:dyDescent="0.25">
      <c r="A1711" s="38">
        <v>1711</v>
      </c>
    </row>
    <row r="1712" spans="1:1" x14ac:dyDescent="0.25">
      <c r="A1712" s="38">
        <v>1712</v>
      </c>
    </row>
    <row r="1713" spans="1:1" x14ac:dyDescent="0.25">
      <c r="A1713" s="38">
        <v>1713</v>
      </c>
    </row>
    <row r="1714" spans="1:1" x14ac:dyDescent="0.25">
      <c r="A1714" s="38">
        <v>1714</v>
      </c>
    </row>
    <row r="1715" spans="1:1" x14ac:dyDescent="0.25">
      <c r="A1715" s="38">
        <v>1715</v>
      </c>
    </row>
    <row r="1716" spans="1:1" x14ac:dyDescent="0.25">
      <c r="A1716" s="38">
        <v>1716</v>
      </c>
    </row>
    <row r="1717" spans="1:1" x14ac:dyDescent="0.25">
      <c r="A1717" s="38">
        <v>1717</v>
      </c>
    </row>
    <row r="1718" spans="1:1" x14ac:dyDescent="0.25">
      <c r="A1718" s="38">
        <v>1718</v>
      </c>
    </row>
    <row r="1719" spans="1:1" x14ac:dyDescent="0.25">
      <c r="A1719" s="38">
        <v>1719</v>
      </c>
    </row>
    <row r="1720" spans="1:1" x14ac:dyDescent="0.25">
      <c r="A1720" s="38">
        <v>1720</v>
      </c>
    </row>
    <row r="1721" spans="1:1" x14ac:dyDescent="0.25">
      <c r="A1721" s="38">
        <v>1721</v>
      </c>
    </row>
    <row r="1722" spans="1:1" x14ac:dyDescent="0.25">
      <c r="A1722" s="38">
        <v>1722</v>
      </c>
    </row>
    <row r="1723" spans="1:1" x14ac:dyDescent="0.25">
      <c r="A1723" s="38">
        <v>1723</v>
      </c>
    </row>
    <row r="1724" spans="1:1" x14ac:dyDescent="0.25">
      <c r="A1724" s="38">
        <v>1724</v>
      </c>
    </row>
    <row r="1725" spans="1:1" x14ac:dyDescent="0.25">
      <c r="A1725" s="38">
        <v>1725</v>
      </c>
    </row>
    <row r="1726" spans="1:1" x14ac:dyDescent="0.25">
      <c r="A1726" s="38">
        <v>1726</v>
      </c>
    </row>
    <row r="1727" spans="1:1" x14ac:dyDescent="0.25">
      <c r="A1727" s="38">
        <v>1727</v>
      </c>
    </row>
    <row r="1728" spans="1:1" x14ac:dyDescent="0.25">
      <c r="A1728" s="38">
        <v>1728</v>
      </c>
    </row>
    <row r="1729" spans="1:1" x14ac:dyDescent="0.25">
      <c r="A1729" s="38">
        <v>1729</v>
      </c>
    </row>
    <row r="1730" spans="1:1" x14ac:dyDescent="0.25">
      <c r="A1730" s="38">
        <v>1730</v>
      </c>
    </row>
    <row r="1731" spans="1:1" x14ac:dyDescent="0.25">
      <c r="A1731" s="38">
        <v>1731</v>
      </c>
    </row>
    <row r="1732" spans="1:1" x14ac:dyDescent="0.25">
      <c r="A1732" s="38">
        <v>1732</v>
      </c>
    </row>
    <row r="1733" spans="1:1" x14ac:dyDescent="0.25">
      <c r="A1733" s="38">
        <v>1733</v>
      </c>
    </row>
    <row r="1734" spans="1:1" x14ac:dyDescent="0.25">
      <c r="A1734" s="38">
        <v>1734</v>
      </c>
    </row>
    <row r="1735" spans="1:1" x14ac:dyDescent="0.25">
      <c r="A1735" s="38">
        <v>1735</v>
      </c>
    </row>
    <row r="1736" spans="1:1" x14ac:dyDescent="0.25">
      <c r="A1736" s="38">
        <v>1736</v>
      </c>
    </row>
    <row r="1737" spans="1:1" x14ac:dyDescent="0.25">
      <c r="A1737" s="38">
        <v>1737</v>
      </c>
    </row>
    <row r="1738" spans="1:1" x14ac:dyDescent="0.25">
      <c r="A1738" s="38">
        <v>1738</v>
      </c>
    </row>
    <row r="1739" spans="1:1" x14ac:dyDescent="0.25">
      <c r="A1739" s="38">
        <v>1739</v>
      </c>
    </row>
    <row r="1740" spans="1:1" x14ac:dyDescent="0.25">
      <c r="A1740" s="38">
        <v>1740</v>
      </c>
    </row>
    <row r="1741" spans="1:1" x14ac:dyDescent="0.25">
      <c r="A1741" s="38">
        <v>1741</v>
      </c>
    </row>
    <row r="1742" spans="1:1" x14ac:dyDescent="0.25">
      <c r="A1742" s="38">
        <v>1742</v>
      </c>
    </row>
    <row r="1743" spans="1:1" x14ac:dyDescent="0.25">
      <c r="A1743" s="38">
        <v>1743</v>
      </c>
    </row>
    <row r="1744" spans="1:1" x14ac:dyDescent="0.25">
      <c r="A1744" s="38">
        <v>1744</v>
      </c>
    </row>
    <row r="1745" spans="1:1" x14ac:dyDescent="0.25">
      <c r="A1745" s="38">
        <v>1745</v>
      </c>
    </row>
    <row r="1746" spans="1:1" x14ac:dyDescent="0.25">
      <c r="A1746" s="38">
        <v>1746</v>
      </c>
    </row>
    <row r="1747" spans="1:1" x14ac:dyDescent="0.25">
      <c r="A1747" s="38">
        <v>1747</v>
      </c>
    </row>
    <row r="1748" spans="1:1" x14ac:dyDescent="0.25">
      <c r="A1748" s="38">
        <v>1748</v>
      </c>
    </row>
    <row r="1749" spans="1:1" x14ac:dyDescent="0.25">
      <c r="A1749" s="38">
        <v>1749</v>
      </c>
    </row>
    <row r="1750" spans="1:1" x14ac:dyDescent="0.25">
      <c r="A1750" s="38">
        <v>1750</v>
      </c>
    </row>
    <row r="1751" spans="1:1" x14ac:dyDescent="0.25">
      <c r="A1751" s="38">
        <v>1751</v>
      </c>
    </row>
    <row r="1752" spans="1:1" x14ac:dyDescent="0.25">
      <c r="A1752" s="38">
        <v>1752</v>
      </c>
    </row>
    <row r="1753" spans="1:1" x14ac:dyDescent="0.25">
      <c r="A1753" s="38">
        <v>1753</v>
      </c>
    </row>
    <row r="1754" spans="1:1" x14ac:dyDescent="0.25">
      <c r="A1754" s="38">
        <v>1754</v>
      </c>
    </row>
    <row r="1755" spans="1:1" x14ac:dyDescent="0.25">
      <c r="A1755" s="38">
        <v>1755</v>
      </c>
    </row>
    <row r="1756" spans="1:1" x14ac:dyDescent="0.25">
      <c r="A1756" s="38">
        <v>1756</v>
      </c>
    </row>
    <row r="1757" spans="1:1" x14ac:dyDescent="0.25">
      <c r="A1757" s="38">
        <v>1757</v>
      </c>
    </row>
    <row r="1758" spans="1:1" x14ac:dyDescent="0.25">
      <c r="A1758" s="38">
        <v>1758</v>
      </c>
    </row>
    <row r="1759" spans="1:1" x14ac:dyDescent="0.25">
      <c r="A1759" s="38">
        <v>1759</v>
      </c>
    </row>
    <row r="1760" spans="1:1" x14ac:dyDescent="0.25">
      <c r="A1760" s="38">
        <v>1760</v>
      </c>
    </row>
    <row r="1761" spans="1:1" x14ac:dyDescent="0.25">
      <c r="A1761" s="38">
        <v>1761</v>
      </c>
    </row>
    <row r="1762" spans="1:1" x14ac:dyDescent="0.25">
      <c r="A1762" s="38">
        <v>1762</v>
      </c>
    </row>
    <row r="1763" spans="1:1" x14ac:dyDescent="0.25">
      <c r="A1763" s="38">
        <v>1763</v>
      </c>
    </row>
    <row r="1764" spans="1:1" x14ac:dyDescent="0.25">
      <c r="A1764" s="38">
        <v>1764</v>
      </c>
    </row>
    <row r="1765" spans="1:1" x14ac:dyDescent="0.25">
      <c r="A1765" s="38">
        <v>1765</v>
      </c>
    </row>
    <row r="1766" spans="1:1" x14ac:dyDescent="0.25">
      <c r="A1766" s="38">
        <v>1766</v>
      </c>
    </row>
    <row r="1767" spans="1:1" x14ac:dyDescent="0.25">
      <c r="A1767" s="38">
        <v>1767</v>
      </c>
    </row>
    <row r="1768" spans="1:1" x14ac:dyDescent="0.25">
      <c r="A1768" s="38">
        <v>1768</v>
      </c>
    </row>
    <row r="1769" spans="1:1" x14ac:dyDescent="0.25">
      <c r="A1769" s="38">
        <v>1769</v>
      </c>
    </row>
    <row r="1770" spans="1:1" x14ac:dyDescent="0.25">
      <c r="A1770" s="38">
        <v>1770</v>
      </c>
    </row>
    <row r="1771" spans="1:1" x14ac:dyDescent="0.25">
      <c r="A1771" s="38">
        <v>1771</v>
      </c>
    </row>
    <row r="1772" spans="1:1" x14ac:dyDescent="0.25">
      <c r="A1772" s="38">
        <v>1772</v>
      </c>
    </row>
    <row r="1773" spans="1:1" x14ac:dyDescent="0.25">
      <c r="A1773" s="38">
        <v>1773</v>
      </c>
    </row>
    <row r="1774" spans="1:1" x14ac:dyDescent="0.25">
      <c r="A1774" s="38">
        <v>1774</v>
      </c>
    </row>
    <row r="1775" spans="1:1" x14ac:dyDescent="0.25">
      <c r="A1775" s="38">
        <v>1775</v>
      </c>
    </row>
    <row r="1776" spans="1:1" x14ac:dyDescent="0.25">
      <c r="A1776" s="38">
        <v>1776</v>
      </c>
    </row>
    <row r="1777" spans="1:1" x14ac:dyDescent="0.25">
      <c r="A1777" s="38">
        <v>1777</v>
      </c>
    </row>
    <row r="1778" spans="1:1" x14ac:dyDescent="0.25">
      <c r="A1778" s="38">
        <v>1778</v>
      </c>
    </row>
    <row r="1779" spans="1:1" x14ac:dyDescent="0.25">
      <c r="A1779" s="38">
        <v>1779</v>
      </c>
    </row>
    <row r="1780" spans="1:1" x14ac:dyDescent="0.25">
      <c r="A1780" s="38">
        <v>1780</v>
      </c>
    </row>
    <row r="1781" spans="1:1" x14ac:dyDescent="0.25">
      <c r="A1781" s="38">
        <v>1781</v>
      </c>
    </row>
    <row r="1782" spans="1:1" x14ac:dyDescent="0.25">
      <c r="A1782" s="38">
        <v>1782</v>
      </c>
    </row>
    <row r="1783" spans="1:1" x14ac:dyDescent="0.25">
      <c r="A1783" s="38">
        <v>1783</v>
      </c>
    </row>
    <row r="1784" spans="1:1" x14ac:dyDescent="0.25">
      <c r="A1784" s="38">
        <v>1784</v>
      </c>
    </row>
    <row r="1785" spans="1:1" x14ac:dyDescent="0.25">
      <c r="A1785" s="38">
        <v>1785</v>
      </c>
    </row>
    <row r="1786" spans="1:1" x14ac:dyDescent="0.25">
      <c r="A1786" s="38">
        <v>1786</v>
      </c>
    </row>
    <row r="1787" spans="1:1" x14ac:dyDescent="0.25">
      <c r="A1787" s="38">
        <v>1787</v>
      </c>
    </row>
    <row r="1788" spans="1:1" x14ac:dyDescent="0.25">
      <c r="A1788" s="38">
        <v>1788</v>
      </c>
    </row>
    <row r="1789" spans="1:1" x14ac:dyDescent="0.25">
      <c r="A1789" s="38">
        <v>1789</v>
      </c>
    </row>
    <row r="1790" spans="1:1" x14ac:dyDescent="0.25">
      <c r="A1790" s="38">
        <v>1790</v>
      </c>
    </row>
    <row r="1791" spans="1:1" x14ac:dyDescent="0.25">
      <c r="A1791" s="38">
        <v>1791</v>
      </c>
    </row>
    <row r="1792" spans="1:1" x14ac:dyDescent="0.25">
      <c r="A1792" s="38">
        <v>1792</v>
      </c>
    </row>
    <row r="1793" spans="1:1" x14ac:dyDescent="0.25">
      <c r="A1793" s="38">
        <v>1793</v>
      </c>
    </row>
    <row r="1794" spans="1:1" x14ac:dyDescent="0.25">
      <c r="A1794" s="38">
        <v>1794</v>
      </c>
    </row>
    <row r="1795" spans="1:1" x14ac:dyDescent="0.25">
      <c r="A1795" s="38">
        <v>1795</v>
      </c>
    </row>
    <row r="1796" spans="1:1" x14ac:dyDescent="0.25">
      <c r="A1796" s="38">
        <v>1796</v>
      </c>
    </row>
    <row r="1797" spans="1:1" x14ac:dyDescent="0.25">
      <c r="A1797" s="38">
        <v>1797</v>
      </c>
    </row>
    <row r="1798" spans="1:1" x14ac:dyDescent="0.25">
      <c r="A1798" s="38">
        <v>1798</v>
      </c>
    </row>
    <row r="1799" spans="1:1" x14ac:dyDescent="0.25">
      <c r="A1799" s="38">
        <v>1799</v>
      </c>
    </row>
    <row r="1800" spans="1:1" x14ac:dyDescent="0.25">
      <c r="A1800" s="38">
        <v>1800</v>
      </c>
    </row>
    <row r="1801" spans="1:1" x14ac:dyDescent="0.25">
      <c r="A1801" s="38">
        <v>1801</v>
      </c>
    </row>
    <row r="1802" spans="1:1" x14ac:dyDescent="0.25">
      <c r="A1802" s="38">
        <v>1802</v>
      </c>
    </row>
    <row r="1803" spans="1:1" x14ac:dyDescent="0.25">
      <c r="A1803" s="38">
        <v>1803</v>
      </c>
    </row>
    <row r="1804" spans="1:1" x14ac:dyDescent="0.25">
      <c r="A1804" s="38">
        <v>1804</v>
      </c>
    </row>
    <row r="1805" spans="1:1" x14ac:dyDescent="0.25">
      <c r="A1805" s="38">
        <v>1805</v>
      </c>
    </row>
    <row r="1806" spans="1:1" x14ac:dyDescent="0.25">
      <c r="A1806" s="38">
        <v>1806</v>
      </c>
    </row>
    <row r="1807" spans="1:1" x14ac:dyDescent="0.25">
      <c r="A1807" s="38">
        <v>1807</v>
      </c>
    </row>
    <row r="1808" spans="1:1" x14ac:dyDescent="0.25">
      <c r="A1808" s="38">
        <v>1808</v>
      </c>
    </row>
    <row r="1809" spans="1:1" x14ac:dyDescent="0.25">
      <c r="A1809" s="38">
        <v>1809</v>
      </c>
    </row>
    <row r="1810" spans="1:1" x14ac:dyDescent="0.25">
      <c r="A1810" s="38">
        <v>1810</v>
      </c>
    </row>
    <row r="1811" spans="1:1" x14ac:dyDescent="0.25">
      <c r="A1811" s="38">
        <v>1811</v>
      </c>
    </row>
    <row r="1812" spans="1:1" x14ac:dyDescent="0.25">
      <c r="A1812" s="38">
        <v>1812</v>
      </c>
    </row>
    <row r="1813" spans="1:1" x14ac:dyDescent="0.25">
      <c r="A1813" s="38">
        <v>1813</v>
      </c>
    </row>
    <row r="1814" spans="1:1" x14ac:dyDescent="0.25">
      <c r="A1814" s="38">
        <v>1814</v>
      </c>
    </row>
    <row r="1815" spans="1:1" x14ac:dyDescent="0.25">
      <c r="A1815" s="38">
        <v>1815</v>
      </c>
    </row>
    <row r="1816" spans="1:1" x14ac:dyDescent="0.25">
      <c r="A1816" s="38">
        <v>1816</v>
      </c>
    </row>
    <row r="1817" spans="1:1" x14ac:dyDescent="0.25">
      <c r="A1817" s="38">
        <v>1817</v>
      </c>
    </row>
    <row r="1818" spans="1:1" x14ac:dyDescent="0.25">
      <c r="A1818" s="38">
        <v>1818</v>
      </c>
    </row>
    <row r="1819" spans="1:1" x14ac:dyDescent="0.25">
      <c r="A1819" s="38">
        <v>1819</v>
      </c>
    </row>
    <row r="1820" spans="1:1" x14ac:dyDescent="0.25">
      <c r="A1820" s="38">
        <v>1820</v>
      </c>
    </row>
    <row r="1821" spans="1:1" x14ac:dyDescent="0.25">
      <c r="A1821" s="38">
        <v>1821</v>
      </c>
    </row>
    <row r="1822" spans="1:1" x14ac:dyDescent="0.25">
      <c r="A1822" s="38">
        <v>1822</v>
      </c>
    </row>
    <row r="1823" spans="1:1" x14ac:dyDescent="0.25">
      <c r="A1823" s="38">
        <v>1823</v>
      </c>
    </row>
    <row r="1824" spans="1:1" x14ac:dyDescent="0.25">
      <c r="A1824" s="38">
        <v>1824</v>
      </c>
    </row>
    <row r="1825" spans="1:1" x14ac:dyDescent="0.25">
      <c r="A1825" s="38">
        <v>1825</v>
      </c>
    </row>
    <row r="1826" spans="1:1" x14ac:dyDescent="0.25">
      <c r="A1826" s="38">
        <v>1826</v>
      </c>
    </row>
    <row r="1827" spans="1:1" x14ac:dyDescent="0.25">
      <c r="A1827" s="38">
        <v>1827</v>
      </c>
    </row>
    <row r="1828" spans="1:1" x14ac:dyDescent="0.25">
      <c r="A1828" s="38">
        <v>1828</v>
      </c>
    </row>
    <row r="1829" spans="1:1" x14ac:dyDescent="0.25">
      <c r="A1829" s="38">
        <v>1829</v>
      </c>
    </row>
    <row r="1830" spans="1:1" x14ac:dyDescent="0.25">
      <c r="A1830" s="38">
        <v>1830</v>
      </c>
    </row>
    <row r="1831" spans="1:1" x14ac:dyDescent="0.25">
      <c r="A1831" s="38">
        <v>1831</v>
      </c>
    </row>
    <row r="1832" spans="1:1" x14ac:dyDescent="0.25">
      <c r="A1832" s="38">
        <v>1832</v>
      </c>
    </row>
    <row r="1833" spans="1:1" x14ac:dyDescent="0.25">
      <c r="A1833" s="38">
        <v>1833</v>
      </c>
    </row>
    <row r="1834" spans="1:1" x14ac:dyDescent="0.25">
      <c r="A1834" s="38">
        <v>1834</v>
      </c>
    </row>
    <row r="1835" spans="1:1" x14ac:dyDescent="0.25">
      <c r="A1835" s="38">
        <v>1835</v>
      </c>
    </row>
    <row r="1836" spans="1:1" x14ac:dyDescent="0.25">
      <c r="A1836" s="38">
        <v>1836</v>
      </c>
    </row>
    <row r="1837" spans="1:1" x14ac:dyDescent="0.25">
      <c r="A1837" s="38">
        <v>1837</v>
      </c>
    </row>
    <row r="1838" spans="1:1" x14ac:dyDescent="0.25">
      <c r="A1838" s="38">
        <v>1838</v>
      </c>
    </row>
    <row r="1839" spans="1:1" x14ac:dyDescent="0.25">
      <c r="A1839" s="38">
        <v>1839</v>
      </c>
    </row>
    <row r="1840" spans="1:1" x14ac:dyDescent="0.25">
      <c r="A1840" s="38">
        <v>1840</v>
      </c>
    </row>
    <row r="1841" spans="1:1" x14ac:dyDescent="0.25">
      <c r="A1841" s="38">
        <v>1841</v>
      </c>
    </row>
    <row r="1842" spans="1:1" x14ac:dyDescent="0.25">
      <c r="A1842" s="38">
        <v>1842</v>
      </c>
    </row>
    <row r="1843" spans="1:1" x14ac:dyDescent="0.25">
      <c r="A1843" s="38">
        <v>1843</v>
      </c>
    </row>
    <row r="1844" spans="1:1" x14ac:dyDescent="0.25">
      <c r="A1844" s="38">
        <v>1844</v>
      </c>
    </row>
    <row r="1845" spans="1:1" x14ac:dyDescent="0.25">
      <c r="A1845" s="38">
        <v>1845</v>
      </c>
    </row>
    <row r="1846" spans="1:1" x14ac:dyDescent="0.25">
      <c r="A1846" s="38">
        <v>1846</v>
      </c>
    </row>
    <row r="1847" spans="1:1" x14ac:dyDescent="0.25">
      <c r="A1847" s="38">
        <v>1847</v>
      </c>
    </row>
    <row r="1848" spans="1:1" x14ac:dyDescent="0.25">
      <c r="A1848" s="38">
        <v>1848</v>
      </c>
    </row>
    <row r="1849" spans="1:1" x14ac:dyDescent="0.25">
      <c r="A1849" s="38">
        <v>1849</v>
      </c>
    </row>
    <row r="1850" spans="1:1" x14ac:dyDescent="0.25">
      <c r="A1850" s="38">
        <v>1850</v>
      </c>
    </row>
    <row r="1851" spans="1:1" x14ac:dyDescent="0.25">
      <c r="A1851" s="38">
        <v>1851</v>
      </c>
    </row>
    <row r="1852" spans="1:1" x14ac:dyDescent="0.25">
      <c r="A1852" s="38">
        <v>1852</v>
      </c>
    </row>
    <row r="1853" spans="1:1" x14ac:dyDescent="0.25">
      <c r="A1853" s="38">
        <v>1853</v>
      </c>
    </row>
    <row r="1854" spans="1:1" x14ac:dyDescent="0.25">
      <c r="A1854" s="38">
        <v>1854</v>
      </c>
    </row>
    <row r="1855" spans="1:1" x14ac:dyDescent="0.25">
      <c r="A1855" s="38">
        <v>1855</v>
      </c>
    </row>
    <row r="1856" spans="1:1" x14ac:dyDescent="0.25">
      <c r="A1856" s="38">
        <v>1856</v>
      </c>
    </row>
    <row r="1857" spans="1:1" x14ac:dyDescent="0.25">
      <c r="A1857" s="38">
        <v>1857</v>
      </c>
    </row>
    <row r="1858" spans="1:1" x14ac:dyDescent="0.25">
      <c r="A1858" s="38">
        <v>1858</v>
      </c>
    </row>
    <row r="1859" spans="1:1" x14ac:dyDescent="0.25">
      <c r="A1859" s="38">
        <v>1859</v>
      </c>
    </row>
    <row r="1860" spans="1:1" x14ac:dyDescent="0.25">
      <c r="A1860" s="38">
        <v>1860</v>
      </c>
    </row>
    <row r="1861" spans="1:1" x14ac:dyDescent="0.25">
      <c r="A1861" s="38">
        <v>1861</v>
      </c>
    </row>
    <row r="1862" spans="1:1" x14ac:dyDescent="0.25">
      <c r="A1862" s="38">
        <v>1862</v>
      </c>
    </row>
    <row r="1863" spans="1:1" x14ac:dyDescent="0.25">
      <c r="A1863" s="38">
        <v>1863</v>
      </c>
    </row>
    <row r="1864" spans="1:1" x14ac:dyDescent="0.25">
      <c r="A1864" s="38">
        <v>1864</v>
      </c>
    </row>
    <row r="1865" spans="1:1" x14ac:dyDescent="0.25">
      <c r="A1865" s="38">
        <v>1865</v>
      </c>
    </row>
    <row r="1866" spans="1:1" x14ac:dyDescent="0.25">
      <c r="A1866" s="38">
        <v>1866</v>
      </c>
    </row>
    <row r="1867" spans="1:1" x14ac:dyDescent="0.25">
      <c r="A1867" s="38">
        <v>1867</v>
      </c>
    </row>
    <row r="1868" spans="1:1" x14ac:dyDescent="0.25">
      <c r="A1868" s="38">
        <v>1868</v>
      </c>
    </row>
    <row r="1869" spans="1:1" x14ac:dyDescent="0.25">
      <c r="A1869" s="38">
        <v>1869</v>
      </c>
    </row>
    <row r="1870" spans="1:1" x14ac:dyDescent="0.25">
      <c r="A1870" s="38">
        <v>1870</v>
      </c>
    </row>
    <row r="1871" spans="1:1" x14ac:dyDescent="0.25">
      <c r="A1871" s="38">
        <v>1871</v>
      </c>
    </row>
    <row r="1872" spans="1:1" x14ac:dyDescent="0.25">
      <c r="A1872" s="38">
        <v>1872</v>
      </c>
    </row>
    <row r="1873" spans="1:1" x14ac:dyDescent="0.25">
      <c r="A1873" s="38">
        <v>1873</v>
      </c>
    </row>
    <row r="1874" spans="1:1" x14ac:dyDescent="0.25">
      <c r="A1874" s="38">
        <v>1874</v>
      </c>
    </row>
    <row r="1875" spans="1:1" x14ac:dyDescent="0.25">
      <c r="A1875" s="38">
        <v>1875</v>
      </c>
    </row>
    <row r="1876" spans="1:1" x14ac:dyDescent="0.25">
      <c r="A1876" s="38">
        <v>1876</v>
      </c>
    </row>
    <row r="1877" spans="1:1" x14ac:dyDescent="0.25">
      <c r="A1877" s="38">
        <v>1877</v>
      </c>
    </row>
    <row r="1878" spans="1:1" x14ac:dyDescent="0.25">
      <c r="A1878" s="38">
        <v>1878</v>
      </c>
    </row>
    <row r="1879" spans="1:1" x14ac:dyDescent="0.25">
      <c r="A1879" s="38">
        <v>1879</v>
      </c>
    </row>
    <row r="1880" spans="1:1" x14ac:dyDescent="0.25">
      <c r="A1880" s="38">
        <v>1880</v>
      </c>
    </row>
    <row r="1881" spans="1:1" x14ac:dyDescent="0.25">
      <c r="A1881" s="38">
        <v>1881</v>
      </c>
    </row>
    <row r="1882" spans="1:1" x14ac:dyDescent="0.25">
      <c r="A1882" s="38">
        <v>1882</v>
      </c>
    </row>
    <row r="1883" spans="1:1" x14ac:dyDescent="0.25">
      <c r="A1883" s="38">
        <v>1883</v>
      </c>
    </row>
    <row r="1884" spans="1:1" x14ac:dyDescent="0.25">
      <c r="A1884" s="38">
        <v>1884</v>
      </c>
    </row>
    <row r="1885" spans="1:1" x14ac:dyDescent="0.25">
      <c r="A1885" s="38">
        <v>1885</v>
      </c>
    </row>
    <row r="1886" spans="1:1" x14ac:dyDescent="0.25">
      <c r="A1886" s="38">
        <v>1886</v>
      </c>
    </row>
    <row r="1887" spans="1:1" x14ac:dyDescent="0.25">
      <c r="A1887" s="38">
        <v>1887</v>
      </c>
    </row>
    <row r="1888" spans="1:1" x14ac:dyDescent="0.25">
      <c r="A1888" s="38">
        <v>1888</v>
      </c>
    </row>
    <row r="1889" spans="1:1" x14ac:dyDescent="0.25">
      <c r="A1889" s="38">
        <v>1889</v>
      </c>
    </row>
    <row r="1890" spans="1:1" x14ac:dyDescent="0.25">
      <c r="A1890" s="38">
        <v>1890</v>
      </c>
    </row>
    <row r="1891" spans="1:1" x14ac:dyDescent="0.25">
      <c r="A1891" s="38">
        <v>1891</v>
      </c>
    </row>
    <row r="1892" spans="1:1" x14ac:dyDescent="0.25">
      <c r="A1892" s="38">
        <v>1892</v>
      </c>
    </row>
    <row r="1893" spans="1:1" x14ac:dyDescent="0.25">
      <c r="A1893" s="38">
        <v>1893</v>
      </c>
    </row>
    <row r="1894" spans="1:1" x14ac:dyDescent="0.25">
      <c r="A1894" s="38">
        <v>1894</v>
      </c>
    </row>
    <row r="1895" spans="1:1" x14ac:dyDescent="0.25">
      <c r="A1895" s="38">
        <v>1895</v>
      </c>
    </row>
    <row r="1896" spans="1:1" x14ac:dyDescent="0.25">
      <c r="A1896" s="38">
        <v>1896</v>
      </c>
    </row>
    <row r="1897" spans="1:1" x14ac:dyDescent="0.25">
      <c r="A1897" s="38">
        <v>1897</v>
      </c>
    </row>
    <row r="1898" spans="1:1" x14ac:dyDescent="0.25">
      <c r="A1898" s="38">
        <v>1898</v>
      </c>
    </row>
    <row r="1899" spans="1:1" x14ac:dyDescent="0.25">
      <c r="A1899" s="38">
        <v>1899</v>
      </c>
    </row>
    <row r="1900" spans="1:1" x14ac:dyDescent="0.25">
      <c r="A1900" s="38">
        <v>1900</v>
      </c>
    </row>
    <row r="1901" spans="1:1" x14ac:dyDescent="0.25">
      <c r="A1901" s="38">
        <v>1901</v>
      </c>
    </row>
    <row r="1902" spans="1:1" x14ac:dyDescent="0.25">
      <c r="A1902" s="38">
        <v>1902</v>
      </c>
    </row>
    <row r="1903" spans="1:1" x14ac:dyDescent="0.25">
      <c r="A1903" s="38">
        <v>1903</v>
      </c>
    </row>
    <row r="1904" spans="1:1" x14ac:dyDescent="0.25">
      <c r="A1904" s="38">
        <v>1904</v>
      </c>
    </row>
    <row r="1905" spans="1:1" x14ac:dyDescent="0.25">
      <c r="A1905" s="38">
        <v>1905</v>
      </c>
    </row>
    <row r="1906" spans="1:1" x14ac:dyDescent="0.25">
      <c r="A1906" s="38">
        <v>1906</v>
      </c>
    </row>
    <row r="1907" spans="1:1" x14ac:dyDescent="0.25">
      <c r="A1907" s="38">
        <v>1907</v>
      </c>
    </row>
    <row r="1908" spans="1:1" x14ac:dyDescent="0.25">
      <c r="A1908" s="38">
        <v>1908</v>
      </c>
    </row>
    <row r="1909" spans="1:1" x14ac:dyDescent="0.25">
      <c r="A1909" s="38">
        <v>1909</v>
      </c>
    </row>
    <row r="1910" spans="1:1" x14ac:dyDescent="0.25">
      <c r="A1910" s="38">
        <v>1910</v>
      </c>
    </row>
    <row r="1911" spans="1:1" x14ac:dyDescent="0.25">
      <c r="A1911" s="38">
        <v>1911</v>
      </c>
    </row>
    <row r="1912" spans="1:1" x14ac:dyDescent="0.25">
      <c r="A1912" s="38">
        <v>1912</v>
      </c>
    </row>
    <row r="1913" spans="1:1" x14ac:dyDescent="0.25">
      <c r="A1913" s="38">
        <v>1913</v>
      </c>
    </row>
    <row r="1914" spans="1:1" x14ac:dyDescent="0.25">
      <c r="A1914" s="38">
        <v>1914</v>
      </c>
    </row>
    <row r="1915" spans="1:1" x14ac:dyDescent="0.25">
      <c r="A1915" s="38">
        <v>1915</v>
      </c>
    </row>
    <row r="1916" spans="1:1" x14ac:dyDescent="0.25">
      <c r="A1916" s="38">
        <v>1916</v>
      </c>
    </row>
    <row r="1917" spans="1:1" x14ac:dyDescent="0.25">
      <c r="A1917" s="38">
        <v>1917</v>
      </c>
    </row>
    <row r="1918" spans="1:1" x14ac:dyDescent="0.25">
      <c r="A1918" s="38">
        <v>1918</v>
      </c>
    </row>
    <row r="1919" spans="1:1" x14ac:dyDescent="0.25">
      <c r="A1919" s="38">
        <v>1919</v>
      </c>
    </row>
    <row r="1920" spans="1:1" x14ac:dyDescent="0.25">
      <c r="A1920" s="38">
        <v>1920</v>
      </c>
    </row>
    <row r="1921" spans="1:1" x14ac:dyDescent="0.25">
      <c r="A1921" s="38">
        <v>1921</v>
      </c>
    </row>
    <row r="1922" spans="1:1" x14ac:dyDescent="0.25">
      <c r="A1922" s="38">
        <v>1922</v>
      </c>
    </row>
    <row r="1923" spans="1:1" x14ac:dyDescent="0.25">
      <c r="A1923" s="38">
        <v>1923</v>
      </c>
    </row>
    <row r="1924" spans="1:1" x14ac:dyDescent="0.25">
      <c r="A1924" s="38">
        <v>1924</v>
      </c>
    </row>
    <row r="1925" spans="1:1" x14ac:dyDescent="0.25">
      <c r="A1925" s="38">
        <v>1925</v>
      </c>
    </row>
    <row r="1926" spans="1:1" x14ac:dyDescent="0.25">
      <c r="A1926" s="38">
        <v>1926</v>
      </c>
    </row>
    <row r="1927" spans="1:1" x14ac:dyDescent="0.25">
      <c r="A1927" s="38">
        <v>1927</v>
      </c>
    </row>
    <row r="1928" spans="1:1" x14ac:dyDescent="0.25">
      <c r="A1928" s="38">
        <v>1928</v>
      </c>
    </row>
    <row r="1929" spans="1:1" x14ac:dyDescent="0.25">
      <c r="A1929" s="38">
        <v>1929</v>
      </c>
    </row>
    <row r="1930" spans="1:1" x14ac:dyDescent="0.25">
      <c r="A1930" s="38">
        <v>1930</v>
      </c>
    </row>
    <row r="1931" spans="1:1" x14ac:dyDescent="0.25">
      <c r="A1931" s="38">
        <v>1931</v>
      </c>
    </row>
    <row r="1932" spans="1:1" x14ac:dyDescent="0.25">
      <c r="A1932" s="38">
        <v>1932</v>
      </c>
    </row>
    <row r="1933" spans="1:1" x14ac:dyDescent="0.25">
      <c r="A1933" s="38">
        <v>1933</v>
      </c>
    </row>
    <row r="1934" spans="1:1" x14ac:dyDescent="0.25">
      <c r="A1934" s="38">
        <v>1934</v>
      </c>
    </row>
    <row r="1935" spans="1:1" x14ac:dyDescent="0.25">
      <c r="A1935" s="38">
        <v>1935</v>
      </c>
    </row>
    <row r="1936" spans="1:1" x14ac:dyDescent="0.25">
      <c r="A1936" s="38">
        <v>1936</v>
      </c>
    </row>
    <row r="1937" spans="1:1" x14ac:dyDescent="0.25">
      <c r="A1937" s="38">
        <v>1937</v>
      </c>
    </row>
    <row r="1938" spans="1:1" x14ac:dyDescent="0.25">
      <c r="A1938" s="38">
        <v>1938</v>
      </c>
    </row>
    <row r="1939" spans="1:1" x14ac:dyDescent="0.25">
      <c r="A1939" s="38">
        <v>1939</v>
      </c>
    </row>
    <row r="1940" spans="1:1" x14ac:dyDescent="0.25">
      <c r="A1940" s="38">
        <v>1940</v>
      </c>
    </row>
    <row r="1941" spans="1:1" x14ac:dyDescent="0.25">
      <c r="A1941" s="38">
        <v>1941</v>
      </c>
    </row>
    <row r="1942" spans="1:1" x14ac:dyDescent="0.25">
      <c r="A1942" s="38">
        <v>1942</v>
      </c>
    </row>
    <row r="1943" spans="1:1" x14ac:dyDescent="0.25">
      <c r="A1943" s="38">
        <v>1943</v>
      </c>
    </row>
    <row r="1944" spans="1:1" x14ac:dyDescent="0.25">
      <c r="A1944" s="38">
        <v>1944</v>
      </c>
    </row>
    <row r="1945" spans="1:1" x14ac:dyDescent="0.25">
      <c r="A1945" s="38">
        <v>1945</v>
      </c>
    </row>
    <row r="1946" spans="1:1" x14ac:dyDescent="0.25">
      <c r="A1946" s="38">
        <v>1946</v>
      </c>
    </row>
    <row r="1947" spans="1:1" x14ac:dyDescent="0.25">
      <c r="A1947" s="38">
        <v>1947</v>
      </c>
    </row>
    <row r="1948" spans="1:1" x14ac:dyDescent="0.25">
      <c r="A1948" s="38">
        <v>1948</v>
      </c>
    </row>
    <row r="1949" spans="1:1" x14ac:dyDescent="0.25">
      <c r="A1949" s="38">
        <v>1949</v>
      </c>
    </row>
    <row r="1950" spans="1:1" x14ac:dyDescent="0.25">
      <c r="A1950" s="38">
        <v>1950</v>
      </c>
    </row>
    <row r="1951" spans="1:1" x14ac:dyDescent="0.25">
      <c r="A1951" s="38">
        <v>1951</v>
      </c>
    </row>
    <row r="1952" spans="1:1" x14ac:dyDescent="0.25">
      <c r="A1952" s="38">
        <v>1952</v>
      </c>
    </row>
    <row r="1953" spans="1:1" x14ac:dyDescent="0.25">
      <c r="A1953" s="38">
        <v>1953</v>
      </c>
    </row>
    <row r="1954" spans="1:1" x14ac:dyDescent="0.25">
      <c r="A1954" s="38">
        <v>1954</v>
      </c>
    </row>
    <row r="1955" spans="1:1" x14ac:dyDescent="0.25">
      <c r="A1955" s="38">
        <v>1955</v>
      </c>
    </row>
    <row r="1956" spans="1:1" x14ac:dyDescent="0.25">
      <c r="A1956" s="38">
        <v>1956</v>
      </c>
    </row>
    <row r="1957" spans="1:1" x14ac:dyDescent="0.25">
      <c r="A1957" s="38">
        <v>1957</v>
      </c>
    </row>
    <row r="1958" spans="1:1" x14ac:dyDescent="0.25">
      <c r="A1958" s="38">
        <v>1958</v>
      </c>
    </row>
    <row r="1959" spans="1:1" x14ac:dyDescent="0.25">
      <c r="A1959" s="38">
        <v>1959</v>
      </c>
    </row>
    <row r="1960" spans="1:1" x14ac:dyDescent="0.25">
      <c r="A1960" s="38">
        <v>1960</v>
      </c>
    </row>
    <row r="1961" spans="1:1" x14ac:dyDescent="0.25">
      <c r="A1961" s="38">
        <v>1961</v>
      </c>
    </row>
    <row r="1962" spans="1:1" x14ac:dyDescent="0.25">
      <c r="A1962" s="38">
        <v>1962</v>
      </c>
    </row>
    <row r="1963" spans="1:1" x14ac:dyDescent="0.25">
      <c r="A1963" s="38">
        <v>1963</v>
      </c>
    </row>
    <row r="1964" spans="1:1" x14ac:dyDescent="0.25">
      <c r="A1964" s="38">
        <v>1964</v>
      </c>
    </row>
    <row r="1965" spans="1:1" x14ac:dyDescent="0.25">
      <c r="A1965" s="38">
        <v>1965</v>
      </c>
    </row>
    <row r="1966" spans="1:1" x14ac:dyDescent="0.25">
      <c r="A1966" s="38">
        <v>1966</v>
      </c>
    </row>
    <row r="1967" spans="1:1" x14ac:dyDescent="0.25">
      <c r="A1967" s="38">
        <v>1967</v>
      </c>
    </row>
    <row r="1968" spans="1:1" x14ac:dyDescent="0.25">
      <c r="A1968" s="38">
        <v>1968</v>
      </c>
    </row>
    <row r="1969" spans="1:1" x14ac:dyDescent="0.25">
      <c r="A1969" s="38">
        <v>1969</v>
      </c>
    </row>
    <row r="1970" spans="1:1" x14ac:dyDescent="0.25">
      <c r="A1970" s="38">
        <v>1970</v>
      </c>
    </row>
    <row r="1971" spans="1:1" x14ac:dyDescent="0.25">
      <c r="A1971" s="38">
        <v>1971</v>
      </c>
    </row>
    <row r="1972" spans="1:1" x14ac:dyDescent="0.25">
      <c r="A1972" s="38">
        <v>1972</v>
      </c>
    </row>
    <row r="1973" spans="1:1" x14ac:dyDescent="0.25">
      <c r="A1973" s="38">
        <v>1973</v>
      </c>
    </row>
    <row r="1974" spans="1:1" x14ac:dyDescent="0.25">
      <c r="A1974" s="38">
        <v>1974</v>
      </c>
    </row>
    <row r="1975" spans="1:1" x14ac:dyDescent="0.25">
      <c r="A1975" s="38">
        <v>1975</v>
      </c>
    </row>
    <row r="1976" spans="1:1" x14ac:dyDescent="0.25">
      <c r="A1976" s="38">
        <v>1976</v>
      </c>
    </row>
    <row r="1977" spans="1:1" x14ac:dyDescent="0.25">
      <c r="A1977" s="38">
        <v>1977</v>
      </c>
    </row>
    <row r="1978" spans="1:1" x14ac:dyDescent="0.25">
      <c r="A1978" s="38">
        <v>1978</v>
      </c>
    </row>
    <row r="1979" spans="1:1" x14ac:dyDescent="0.25">
      <c r="A1979" s="38">
        <v>1979</v>
      </c>
    </row>
    <row r="1980" spans="1:1" x14ac:dyDescent="0.25">
      <c r="A1980" s="38">
        <v>1980</v>
      </c>
    </row>
    <row r="1981" spans="1:1" x14ac:dyDescent="0.25">
      <c r="A1981" s="38">
        <v>1981</v>
      </c>
    </row>
    <row r="1982" spans="1:1" x14ac:dyDescent="0.25">
      <c r="A1982" s="38">
        <v>1982</v>
      </c>
    </row>
    <row r="1983" spans="1:1" x14ac:dyDescent="0.25">
      <c r="A1983" s="38">
        <v>1983</v>
      </c>
    </row>
    <row r="1984" spans="1:1" x14ac:dyDescent="0.25">
      <c r="A1984" s="38">
        <v>1984</v>
      </c>
    </row>
    <row r="1985" spans="1:1" x14ac:dyDescent="0.25">
      <c r="A1985" s="38">
        <v>1985</v>
      </c>
    </row>
    <row r="1986" spans="1:1" x14ac:dyDescent="0.25">
      <c r="A1986" s="38">
        <v>1986</v>
      </c>
    </row>
    <row r="1987" spans="1:1" x14ac:dyDescent="0.25">
      <c r="A1987" s="38">
        <v>1987</v>
      </c>
    </row>
    <row r="1988" spans="1:1" x14ac:dyDescent="0.25">
      <c r="A1988" s="38">
        <v>1988</v>
      </c>
    </row>
    <row r="1989" spans="1:1" x14ac:dyDescent="0.25">
      <c r="A1989" s="38">
        <v>1989</v>
      </c>
    </row>
    <row r="1990" spans="1:1" x14ac:dyDescent="0.25">
      <c r="A1990" s="38">
        <v>1990</v>
      </c>
    </row>
    <row r="1991" spans="1:1" x14ac:dyDescent="0.25">
      <c r="A1991" s="38">
        <v>1991</v>
      </c>
    </row>
    <row r="1992" spans="1:1" x14ac:dyDescent="0.25">
      <c r="A1992" s="38">
        <v>1992</v>
      </c>
    </row>
    <row r="1993" spans="1:1" x14ac:dyDescent="0.25">
      <c r="A1993" s="38">
        <v>1993</v>
      </c>
    </row>
    <row r="1994" spans="1:1" x14ac:dyDescent="0.25">
      <c r="A1994" s="38">
        <v>1994</v>
      </c>
    </row>
    <row r="1995" spans="1:1" x14ac:dyDescent="0.25">
      <c r="A1995" s="38">
        <v>1995</v>
      </c>
    </row>
    <row r="1996" spans="1:1" x14ac:dyDescent="0.25">
      <c r="A1996" s="38">
        <v>1996</v>
      </c>
    </row>
    <row r="1997" spans="1:1" x14ac:dyDescent="0.25">
      <c r="A1997" s="38">
        <v>1997</v>
      </c>
    </row>
    <row r="1998" spans="1:1" x14ac:dyDescent="0.25">
      <c r="A1998" s="38">
        <v>1998</v>
      </c>
    </row>
    <row r="1999" spans="1:1" x14ac:dyDescent="0.25">
      <c r="A1999" s="38">
        <v>1999</v>
      </c>
    </row>
    <row r="2000" spans="1:1" x14ac:dyDescent="0.25">
      <c r="A2000" s="38">
        <v>2000</v>
      </c>
    </row>
    <row r="2001" spans="1:1" x14ac:dyDescent="0.25">
      <c r="A2001" s="38">
        <v>2001</v>
      </c>
    </row>
    <row r="2002" spans="1:1" x14ac:dyDescent="0.25">
      <c r="A2002" s="38">
        <v>2002</v>
      </c>
    </row>
    <row r="2003" spans="1:1" x14ac:dyDescent="0.25">
      <c r="A2003" s="38">
        <v>2003</v>
      </c>
    </row>
    <row r="2004" spans="1:1" x14ac:dyDescent="0.25">
      <c r="A2004" s="38">
        <v>2004</v>
      </c>
    </row>
    <row r="2005" spans="1:1" x14ac:dyDescent="0.25">
      <c r="A2005" s="38">
        <v>2005</v>
      </c>
    </row>
    <row r="2006" spans="1:1" x14ac:dyDescent="0.25">
      <c r="A2006" s="38">
        <v>2006</v>
      </c>
    </row>
    <row r="2007" spans="1:1" x14ac:dyDescent="0.25">
      <c r="A2007" s="38">
        <v>2007</v>
      </c>
    </row>
    <row r="2008" spans="1:1" x14ac:dyDescent="0.25">
      <c r="A2008" s="38">
        <v>2008</v>
      </c>
    </row>
    <row r="2009" spans="1:1" x14ac:dyDescent="0.25">
      <c r="A2009" s="38">
        <v>2009</v>
      </c>
    </row>
    <row r="2010" spans="1:1" x14ac:dyDescent="0.25">
      <c r="A2010" s="38">
        <v>2010</v>
      </c>
    </row>
    <row r="2011" spans="1:1" x14ac:dyDescent="0.25">
      <c r="A2011" s="38">
        <v>2011</v>
      </c>
    </row>
    <row r="2012" spans="1:1" x14ac:dyDescent="0.25">
      <c r="A2012" s="38">
        <v>2012</v>
      </c>
    </row>
    <row r="2013" spans="1:1" x14ac:dyDescent="0.25">
      <c r="A2013" s="38">
        <v>2013</v>
      </c>
    </row>
    <row r="2014" spans="1:1" x14ac:dyDescent="0.25">
      <c r="A2014" s="38">
        <v>2014</v>
      </c>
    </row>
    <row r="2015" spans="1:1" x14ac:dyDescent="0.25">
      <c r="A2015" s="38">
        <v>2015</v>
      </c>
    </row>
    <row r="2016" spans="1:1" x14ac:dyDescent="0.25">
      <c r="A2016" s="38">
        <v>2016</v>
      </c>
    </row>
    <row r="2017" spans="1:1" x14ac:dyDescent="0.25">
      <c r="A2017" s="38">
        <v>2017</v>
      </c>
    </row>
    <row r="2018" spans="1:1" x14ac:dyDescent="0.25">
      <c r="A2018" s="38">
        <v>2018</v>
      </c>
    </row>
    <row r="2019" spans="1:1" x14ac:dyDescent="0.25">
      <c r="A2019" s="38">
        <v>2019</v>
      </c>
    </row>
    <row r="2020" spans="1:1" x14ac:dyDescent="0.25">
      <c r="A2020" s="38">
        <v>2020</v>
      </c>
    </row>
    <row r="2021" spans="1:1" x14ac:dyDescent="0.25">
      <c r="A2021" s="38">
        <v>2021</v>
      </c>
    </row>
    <row r="2022" spans="1:1" x14ac:dyDescent="0.25">
      <c r="A2022" s="38">
        <v>2022</v>
      </c>
    </row>
    <row r="2023" spans="1:1" x14ac:dyDescent="0.25">
      <c r="A2023" s="38">
        <v>2023</v>
      </c>
    </row>
    <row r="2024" spans="1:1" x14ac:dyDescent="0.25">
      <c r="A2024" s="38">
        <v>2024</v>
      </c>
    </row>
    <row r="2025" spans="1:1" x14ac:dyDescent="0.25">
      <c r="A2025" s="38">
        <v>2025</v>
      </c>
    </row>
    <row r="2026" spans="1:1" x14ac:dyDescent="0.25">
      <c r="A2026" s="38">
        <v>2026</v>
      </c>
    </row>
    <row r="2027" spans="1:1" x14ac:dyDescent="0.25">
      <c r="A2027" s="38">
        <v>2027</v>
      </c>
    </row>
    <row r="2028" spans="1:1" x14ac:dyDescent="0.25">
      <c r="A2028" s="38">
        <v>2028</v>
      </c>
    </row>
    <row r="2029" spans="1:1" x14ac:dyDescent="0.25">
      <c r="A2029" s="38">
        <v>2029</v>
      </c>
    </row>
    <row r="2030" spans="1:1" x14ac:dyDescent="0.25">
      <c r="A2030" s="38">
        <v>2030</v>
      </c>
    </row>
    <row r="2031" spans="1:1" x14ac:dyDescent="0.25">
      <c r="A2031" s="38">
        <v>2031</v>
      </c>
    </row>
    <row r="2032" spans="1:1" x14ac:dyDescent="0.25">
      <c r="A2032" s="38">
        <v>2032</v>
      </c>
    </row>
    <row r="2033" spans="1:1" x14ac:dyDescent="0.25">
      <c r="A2033" s="38">
        <v>2033</v>
      </c>
    </row>
    <row r="2034" spans="1:1" x14ac:dyDescent="0.25">
      <c r="A2034" s="38">
        <v>2034</v>
      </c>
    </row>
    <row r="2035" spans="1:1" x14ac:dyDescent="0.25">
      <c r="A2035" s="38">
        <v>2035</v>
      </c>
    </row>
    <row r="2036" spans="1:1" x14ac:dyDescent="0.25">
      <c r="A2036" s="38">
        <v>2036</v>
      </c>
    </row>
    <row r="2037" spans="1:1" x14ac:dyDescent="0.25">
      <c r="A2037" s="38">
        <v>2037</v>
      </c>
    </row>
    <row r="2038" spans="1:1" x14ac:dyDescent="0.25">
      <c r="A2038" s="38">
        <v>2038</v>
      </c>
    </row>
    <row r="2039" spans="1:1" x14ac:dyDescent="0.25">
      <c r="A2039" s="38">
        <v>2039</v>
      </c>
    </row>
    <row r="2040" spans="1:1" x14ac:dyDescent="0.25">
      <c r="A2040" s="38">
        <v>2040</v>
      </c>
    </row>
    <row r="2041" spans="1:1" x14ac:dyDescent="0.25">
      <c r="A2041" s="38">
        <v>2041</v>
      </c>
    </row>
    <row r="2042" spans="1:1" x14ac:dyDescent="0.25">
      <c r="A2042" s="38">
        <v>2042</v>
      </c>
    </row>
    <row r="2043" spans="1:1" x14ac:dyDescent="0.25">
      <c r="A2043" s="38">
        <v>2043</v>
      </c>
    </row>
    <row r="2044" spans="1:1" x14ac:dyDescent="0.25">
      <c r="A2044" s="38">
        <v>2044</v>
      </c>
    </row>
    <row r="2045" spans="1:1" x14ac:dyDescent="0.25">
      <c r="A2045" s="38">
        <v>2045</v>
      </c>
    </row>
    <row r="2046" spans="1:1" x14ac:dyDescent="0.25">
      <c r="A2046" s="38">
        <v>2046</v>
      </c>
    </row>
    <row r="2047" spans="1:1" x14ac:dyDescent="0.25">
      <c r="A2047" s="38">
        <v>2047</v>
      </c>
    </row>
    <row r="2048" spans="1:1" x14ac:dyDescent="0.25">
      <c r="A2048" s="38">
        <v>2048</v>
      </c>
    </row>
    <row r="2049" spans="1:1" x14ac:dyDescent="0.25">
      <c r="A2049" s="38">
        <v>2049</v>
      </c>
    </row>
    <row r="2050" spans="1:1" x14ac:dyDescent="0.25">
      <c r="A2050" s="38">
        <v>2050</v>
      </c>
    </row>
    <row r="2051" spans="1:1" x14ac:dyDescent="0.25">
      <c r="A2051" s="38">
        <v>2051</v>
      </c>
    </row>
    <row r="2052" spans="1:1" x14ac:dyDescent="0.25">
      <c r="A2052" s="38">
        <v>2052</v>
      </c>
    </row>
    <row r="2053" spans="1:1" x14ac:dyDescent="0.25">
      <c r="A2053" s="38">
        <v>2053</v>
      </c>
    </row>
    <row r="2054" spans="1:1" x14ac:dyDescent="0.25">
      <c r="A2054" s="38">
        <v>2054</v>
      </c>
    </row>
    <row r="2055" spans="1:1" x14ac:dyDescent="0.25">
      <c r="A2055" s="38">
        <v>2055</v>
      </c>
    </row>
    <row r="2056" spans="1:1" x14ac:dyDescent="0.25">
      <c r="A2056" s="38">
        <v>2056</v>
      </c>
    </row>
    <row r="2057" spans="1:1" x14ac:dyDescent="0.25">
      <c r="A2057" s="38">
        <v>2057</v>
      </c>
    </row>
    <row r="2058" spans="1:1" x14ac:dyDescent="0.25">
      <c r="A2058" s="38">
        <v>2058</v>
      </c>
    </row>
    <row r="2059" spans="1:1" x14ac:dyDescent="0.25">
      <c r="A2059" s="38">
        <v>2059</v>
      </c>
    </row>
    <row r="2060" spans="1:1" x14ac:dyDescent="0.25">
      <c r="A2060" s="38">
        <v>2060</v>
      </c>
    </row>
    <row r="2061" spans="1:1" x14ac:dyDescent="0.25">
      <c r="A2061" s="38">
        <v>2061</v>
      </c>
    </row>
    <row r="2062" spans="1:1" x14ac:dyDescent="0.25">
      <c r="A2062" s="38">
        <v>2062</v>
      </c>
    </row>
    <row r="2063" spans="1:1" x14ac:dyDescent="0.25">
      <c r="A2063" s="38">
        <v>2063</v>
      </c>
    </row>
    <row r="2064" spans="1:1" x14ac:dyDescent="0.25">
      <c r="A2064" s="38">
        <v>2064</v>
      </c>
    </row>
    <row r="2065" spans="1:1" x14ac:dyDescent="0.25">
      <c r="A2065" s="38">
        <v>2065</v>
      </c>
    </row>
    <row r="2066" spans="1:1" x14ac:dyDescent="0.25">
      <c r="A2066" s="38">
        <v>2066</v>
      </c>
    </row>
    <row r="2067" spans="1:1" x14ac:dyDescent="0.25">
      <c r="A2067" s="38">
        <v>2067</v>
      </c>
    </row>
    <row r="2068" spans="1:1" x14ac:dyDescent="0.25">
      <c r="A2068" s="38">
        <v>2068</v>
      </c>
    </row>
    <row r="2069" spans="1:1" x14ac:dyDescent="0.25">
      <c r="A2069" s="38">
        <v>2069</v>
      </c>
    </row>
    <row r="2070" spans="1:1" x14ac:dyDescent="0.25">
      <c r="A2070" s="38">
        <v>2070</v>
      </c>
    </row>
    <row r="2071" spans="1:1" x14ac:dyDescent="0.25">
      <c r="A2071" s="38">
        <v>2071</v>
      </c>
    </row>
    <row r="2072" spans="1:1" x14ac:dyDescent="0.25">
      <c r="A2072" s="38">
        <v>2072</v>
      </c>
    </row>
    <row r="2073" spans="1:1" x14ac:dyDescent="0.25">
      <c r="A2073" s="38">
        <v>2073</v>
      </c>
    </row>
    <row r="2074" spans="1:1" x14ac:dyDescent="0.25">
      <c r="A2074" s="38">
        <v>2074</v>
      </c>
    </row>
    <row r="2075" spans="1:1" x14ac:dyDescent="0.25">
      <c r="A2075" s="38">
        <v>2075</v>
      </c>
    </row>
    <row r="2076" spans="1:1" x14ac:dyDescent="0.25">
      <c r="A2076" s="38">
        <v>2076</v>
      </c>
    </row>
    <row r="2077" spans="1:1" x14ac:dyDescent="0.25">
      <c r="A2077" s="38">
        <v>2077</v>
      </c>
    </row>
    <row r="2078" spans="1:1" x14ac:dyDescent="0.25">
      <c r="A2078" s="38">
        <v>2078</v>
      </c>
    </row>
    <row r="2079" spans="1:1" x14ac:dyDescent="0.25">
      <c r="A2079" s="38">
        <v>2079</v>
      </c>
    </row>
    <row r="2080" spans="1:1" x14ac:dyDescent="0.25">
      <c r="A2080" s="38">
        <v>2080</v>
      </c>
    </row>
    <row r="2081" spans="1:1" x14ac:dyDescent="0.25">
      <c r="A2081" s="38">
        <v>2081</v>
      </c>
    </row>
    <row r="2082" spans="1:1" x14ac:dyDescent="0.25">
      <c r="A2082" s="38">
        <v>2082</v>
      </c>
    </row>
    <row r="2083" spans="1:1" x14ac:dyDescent="0.25">
      <c r="A2083" s="38">
        <v>2083</v>
      </c>
    </row>
    <row r="2084" spans="1:1" x14ac:dyDescent="0.25">
      <c r="A2084" s="38">
        <v>2084</v>
      </c>
    </row>
    <row r="2085" spans="1:1" x14ac:dyDescent="0.25">
      <c r="A2085" s="38">
        <v>2085</v>
      </c>
    </row>
    <row r="2086" spans="1:1" x14ac:dyDescent="0.25">
      <c r="A2086" s="38">
        <v>2086</v>
      </c>
    </row>
    <row r="2087" spans="1:1" x14ac:dyDescent="0.25">
      <c r="A2087" s="38">
        <v>2087</v>
      </c>
    </row>
    <row r="2088" spans="1:1" x14ac:dyDescent="0.25">
      <c r="A2088" s="38">
        <v>2088</v>
      </c>
    </row>
    <row r="2089" spans="1:1" x14ac:dyDescent="0.25">
      <c r="A2089" s="38">
        <v>2089</v>
      </c>
    </row>
    <row r="2090" spans="1:1" x14ac:dyDescent="0.25">
      <c r="A2090" s="38">
        <v>2090</v>
      </c>
    </row>
    <row r="2091" spans="1:1" x14ac:dyDescent="0.25">
      <c r="A2091" s="38">
        <v>2091</v>
      </c>
    </row>
    <row r="2092" spans="1:1" x14ac:dyDescent="0.25">
      <c r="A2092" s="38">
        <v>2092</v>
      </c>
    </row>
    <row r="2093" spans="1:1" x14ac:dyDescent="0.25">
      <c r="A2093" s="38">
        <v>2093</v>
      </c>
    </row>
    <row r="2094" spans="1:1" x14ac:dyDescent="0.25">
      <c r="A2094" s="38">
        <v>2094</v>
      </c>
    </row>
    <row r="2095" spans="1:1" x14ac:dyDescent="0.25">
      <c r="A2095" s="38">
        <v>2095</v>
      </c>
    </row>
    <row r="2096" spans="1:1" x14ac:dyDescent="0.25">
      <c r="A2096" s="38">
        <v>2096</v>
      </c>
    </row>
    <row r="2097" spans="1:1" x14ac:dyDescent="0.25">
      <c r="A2097" s="38">
        <v>2097</v>
      </c>
    </row>
    <row r="2098" spans="1:1" x14ac:dyDescent="0.25">
      <c r="A2098" s="38">
        <v>2098</v>
      </c>
    </row>
    <row r="2099" spans="1:1" x14ac:dyDescent="0.25">
      <c r="A2099" s="38">
        <v>2099</v>
      </c>
    </row>
    <row r="2100" spans="1:1" x14ac:dyDescent="0.25">
      <c r="A2100" s="38">
        <v>2100</v>
      </c>
    </row>
    <row r="2101" spans="1:1" x14ac:dyDescent="0.25">
      <c r="A2101" s="38">
        <v>2101</v>
      </c>
    </row>
    <row r="2102" spans="1:1" x14ac:dyDescent="0.25">
      <c r="A2102" s="38">
        <v>2102</v>
      </c>
    </row>
    <row r="2103" spans="1:1" x14ac:dyDescent="0.25">
      <c r="A2103" s="38">
        <v>2103</v>
      </c>
    </row>
    <row r="2104" spans="1:1" x14ac:dyDescent="0.25">
      <c r="A2104" s="38">
        <v>2104</v>
      </c>
    </row>
    <row r="2105" spans="1:1" x14ac:dyDescent="0.25">
      <c r="A2105" s="38">
        <v>2105</v>
      </c>
    </row>
    <row r="2106" spans="1:1" x14ac:dyDescent="0.25">
      <c r="A2106" s="38">
        <v>2106</v>
      </c>
    </row>
    <row r="2107" spans="1:1" x14ac:dyDescent="0.25">
      <c r="A2107" s="38">
        <v>2107</v>
      </c>
    </row>
    <row r="2108" spans="1:1" x14ac:dyDescent="0.25">
      <c r="A2108" s="38">
        <v>2108</v>
      </c>
    </row>
    <row r="2109" spans="1:1" x14ac:dyDescent="0.25">
      <c r="A2109" s="38">
        <v>2109</v>
      </c>
    </row>
    <row r="2110" spans="1:1" x14ac:dyDescent="0.25">
      <c r="A2110" s="38">
        <v>2110</v>
      </c>
    </row>
    <row r="2111" spans="1:1" x14ac:dyDescent="0.25">
      <c r="A2111" s="38">
        <v>2111</v>
      </c>
    </row>
    <row r="2112" spans="1:1" x14ac:dyDescent="0.25">
      <c r="A2112" s="38">
        <v>2112</v>
      </c>
    </row>
    <row r="2113" spans="1:1" x14ac:dyDescent="0.25">
      <c r="A2113" s="38">
        <v>2113</v>
      </c>
    </row>
    <row r="2114" spans="1:1" x14ac:dyDescent="0.25">
      <c r="A2114" s="38">
        <v>2114</v>
      </c>
    </row>
    <row r="2115" spans="1:1" x14ac:dyDescent="0.25">
      <c r="A2115" s="38">
        <v>2115</v>
      </c>
    </row>
    <row r="2116" spans="1:1" x14ac:dyDescent="0.25">
      <c r="A2116" s="38">
        <v>2116</v>
      </c>
    </row>
    <row r="2117" spans="1:1" x14ac:dyDescent="0.25">
      <c r="A2117" s="38">
        <v>2117</v>
      </c>
    </row>
    <row r="2118" spans="1:1" x14ac:dyDescent="0.25">
      <c r="A2118" s="38">
        <v>2118</v>
      </c>
    </row>
    <row r="2119" spans="1:1" x14ac:dyDescent="0.25">
      <c r="A2119" s="38">
        <v>2119</v>
      </c>
    </row>
    <row r="2120" spans="1:1" x14ac:dyDescent="0.25">
      <c r="A2120" s="38">
        <v>2120</v>
      </c>
    </row>
    <row r="2121" spans="1:1" x14ac:dyDescent="0.25">
      <c r="A2121" s="38">
        <v>2121</v>
      </c>
    </row>
    <row r="2122" spans="1:1" x14ac:dyDescent="0.25">
      <c r="A2122" s="38">
        <v>2122</v>
      </c>
    </row>
    <row r="2123" spans="1:1" x14ac:dyDescent="0.25">
      <c r="A2123" s="38">
        <v>2123</v>
      </c>
    </row>
    <row r="2124" spans="1:1" x14ac:dyDescent="0.25">
      <c r="A2124" s="38">
        <v>2124</v>
      </c>
    </row>
    <row r="2125" spans="1:1" x14ac:dyDescent="0.25">
      <c r="A2125" s="38">
        <v>2125</v>
      </c>
    </row>
    <row r="2126" spans="1:1" x14ac:dyDescent="0.25">
      <c r="A2126" s="38">
        <v>2126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G184"/>
  <sheetViews>
    <sheetView workbookViewId="0">
      <selection activeCell="A11" sqref="A11:G11"/>
    </sheetView>
  </sheetViews>
  <sheetFormatPr baseColWidth="10" defaultColWidth="11.42578125" defaultRowHeight="15" x14ac:dyDescent="0.25"/>
  <cols>
    <col min="1" max="1" width="14.42578125" style="55" customWidth="1"/>
    <col min="2" max="2" width="21.140625" style="47" customWidth="1"/>
    <col min="3" max="3" width="26.7109375" style="50" customWidth="1"/>
    <col min="4" max="4" width="37.5703125" style="50" customWidth="1"/>
    <col min="5" max="7" width="21.140625" style="4" customWidth="1"/>
  </cols>
  <sheetData>
    <row r="1" spans="1:7" x14ac:dyDescent="0.25">
      <c r="E1" s="3"/>
      <c r="F1" s="3"/>
      <c r="G1" s="3"/>
    </row>
    <row r="2" spans="1:7" x14ac:dyDescent="0.25">
      <c r="A2" s="56" t="s">
        <v>11</v>
      </c>
      <c r="B2" s="48" t="s">
        <v>12</v>
      </c>
      <c r="C2" s="51" t="s">
        <v>27</v>
      </c>
      <c r="D2" s="51" t="s">
        <v>8</v>
      </c>
      <c r="E2" s="5" t="s">
        <v>29</v>
      </c>
      <c r="F2" s="5" t="s">
        <v>25</v>
      </c>
      <c r="G2" s="5" t="s">
        <v>7</v>
      </c>
    </row>
    <row r="3" spans="1:7" x14ac:dyDescent="0.25">
      <c r="A3" s="55" t="str">
        <f>+FACTURA!D16</f>
        <v>May 27,2026</v>
      </c>
      <c r="B3" s="64">
        <f>+FACTURA!G15</f>
        <v>35</v>
      </c>
      <c r="C3" s="52" t="str">
        <f>+FACTURA!D13</f>
        <v>RVIX-E010-2</v>
      </c>
      <c r="D3" s="50" t="str">
        <f>+FACTURA!D14</f>
        <v>Roberto Villegas Rodríguez</v>
      </c>
      <c r="E3" s="3">
        <f>+FACTURA!G27</f>
        <v>50</v>
      </c>
      <c r="F3" s="3">
        <f>+FACTURA!G28</f>
        <v>45</v>
      </c>
      <c r="G3" s="3">
        <f>+FACTURA!G29</f>
        <v>95</v>
      </c>
    </row>
    <row r="4" spans="1:7" x14ac:dyDescent="0.25">
      <c r="E4" s="3"/>
      <c r="F4" s="3"/>
      <c r="G4" s="3"/>
    </row>
    <row r="5" spans="1:7" x14ac:dyDescent="0.25">
      <c r="E5" s="3"/>
      <c r="F5" s="3"/>
      <c r="G5" s="3"/>
    </row>
    <row r="6" spans="1:7" x14ac:dyDescent="0.25">
      <c r="E6" s="3"/>
      <c r="F6" s="3"/>
      <c r="G6" s="3"/>
    </row>
    <row r="7" spans="1:7" x14ac:dyDescent="0.25">
      <c r="E7" s="3"/>
      <c r="F7" s="3"/>
      <c r="G7" s="3"/>
    </row>
    <row r="8" spans="1:7" x14ac:dyDescent="0.25">
      <c r="E8" s="3">
        <f>SUM(E10:E1048576)</f>
        <v>1684</v>
      </c>
      <c r="F8" s="3">
        <f>SUM(F10:F1048576)</f>
        <v>1485</v>
      </c>
      <c r="G8" s="3">
        <f>SUM(G10:G1048576)</f>
        <v>3169</v>
      </c>
    </row>
    <row r="9" spans="1:7" x14ac:dyDescent="0.25">
      <c r="A9" s="57" t="s">
        <v>11</v>
      </c>
      <c r="B9" s="49" t="s">
        <v>12</v>
      </c>
      <c r="C9" s="53" t="s">
        <v>13</v>
      </c>
      <c r="D9" s="53" t="s">
        <v>8</v>
      </c>
      <c r="E9" s="6" t="s">
        <v>29</v>
      </c>
      <c r="F9" s="6" t="s">
        <v>25</v>
      </c>
      <c r="G9" s="6" t="s">
        <v>7</v>
      </c>
    </row>
    <row r="10" spans="1:7" x14ac:dyDescent="0.25">
      <c r="E10" s="3"/>
      <c r="F10" s="3"/>
      <c r="G10" s="3"/>
    </row>
    <row r="11" spans="1:7" x14ac:dyDescent="0.25">
      <c r="A11" s="55" t="s">
        <v>459</v>
      </c>
      <c r="B11" s="47">
        <v>35</v>
      </c>
      <c r="C11" s="50" t="s">
        <v>460</v>
      </c>
      <c r="D11" s="50" t="s">
        <v>445</v>
      </c>
      <c r="E11" s="3">
        <v>50</v>
      </c>
      <c r="F11" s="3">
        <v>45</v>
      </c>
      <c r="G11" s="3">
        <v>95</v>
      </c>
    </row>
    <row r="12" spans="1:7" x14ac:dyDescent="0.25">
      <c r="A12" s="55">
        <v>46192</v>
      </c>
      <c r="B12" s="47">
        <v>35</v>
      </c>
      <c r="C12" s="50" t="s">
        <v>441</v>
      </c>
      <c r="D12" s="50" t="s">
        <v>438</v>
      </c>
      <c r="E12" s="3">
        <v>50</v>
      </c>
      <c r="F12" s="3">
        <v>45</v>
      </c>
      <c r="G12" s="3">
        <v>95</v>
      </c>
    </row>
    <row r="13" spans="1:7" x14ac:dyDescent="0.25">
      <c r="A13" s="55">
        <v>46032</v>
      </c>
      <c r="B13" s="47">
        <v>35</v>
      </c>
      <c r="C13" s="50" t="s">
        <v>432</v>
      </c>
      <c r="D13" s="50" t="s">
        <v>429</v>
      </c>
      <c r="E13" s="3">
        <v>75</v>
      </c>
      <c r="F13" s="3">
        <v>45</v>
      </c>
      <c r="G13" s="3">
        <v>120</v>
      </c>
    </row>
    <row r="14" spans="1:7" x14ac:dyDescent="0.25">
      <c r="A14" s="55">
        <v>46028</v>
      </c>
      <c r="B14" s="47">
        <v>35</v>
      </c>
      <c r="C14" s="50" t="s">
        <v>427</v>
      </c>
      <c r="D14" s="50" t="s">
        <v>423</v>
      </c>
      <c r="E14" s="3">
        <v>75</v>
      </c>
      <c r="F14" s="3">
        <v>45</v>
      </c>
      <c r="G14" s="3">
        <v>120</v>
      </c>
    </row>
    <row r="15" spans="1:7" x14ac:dyDescent="0.25">
      <c r="A15" s="55">
        <v>45912</v>
      </c>
      <c r="B15" s="47">
        <v>2</v>
      </c>
      <c r="C15" s="50" t="s">
        <v>346</v>
      </c>
      <c r="D15" s="50" t="s">
        <v>342</v>
      </c>
      <c r="E15" s="3">
        <v>5</v>
      </c>
      <c r="F15" s="3">
        <v>45</v>
      </c>
      <c r="G15" s="3">
        <v>50</v>
      </c>
    </row>
    <row r="16" spans="1:7" x14ac:dyDescent="0.25">
      <c r="A16" s="55">
        <v>45878</v>
      </c>
      <c r="B16" s="47">
        <v>2</v>
      </c>
      <c r="C16" s="50" t="s">
        <v>320</v>
      </c>
      <c r="D16" s="50" t="s">
        <v>316</v>
      </c>
      <c r="E16" s="3">
        <v>5</v>
      </c>
      <c r="F16" s="3">
        <v>45</v>
      </c>
      <c r="G16" s="3">
        <v>50</v>
      </c>
    </row>
    <row r="17" spans="1:7" x14ac:dyDescent="0.25">
      <c r="A17" s="55">
        <v>45878</v>
      </c>
      <c r="B17" s="47">
        <v>2</v>
      </c>
      <c r="C17" s="50" t="s">
        <v>320</v>
      </c>
      <c r="D17" s="50" t="s">
        <v>316</v>
      </c>
      <c r="E17" s="3">
        <v>55</v>
      </c>
      <c r="F17" s="3">
        <v>45</v>
      </c>
      <c r="G17" s="3">
        <v>100</v>
      </c>
    </row>
    <row r="18" spans="1:7" x14ac:dyDescent="0.25">
      <c r="A18" s="55">
        <v>45866</v>
      </c>
      <c r="B18" s="47">
        <v>2</v>
      </c>
      <c r="C18" s="50" t="s">
        <v>315</v>
      </c>
      <c r="D18" s="50" t="s">
        <v>313</v>
      </c>
      <c r="E18" s="3">
        <v>55</v>
      </c>
      <c r="F18" s="3">
        <v>45</v>
      </c>
      <c r="G18" s="3">
        <v>100</v>
      </c>
    </row>
    <row r="19" spans="1:7" x14ac:dyDescent="0.25">
      <c r="A19" s="55">
        <v>45833</v>
      </c>
      <c r="B19" s="47" t="s">
        <v>292</v>
      </c>
      <c r="C19" s="50" t="s">
        <v>272</v>
      </c>
      <c r="D19" s="50" t="s">
        <v>268</v>
      </c>
      <c r="E19" s="3">
        <v>75</v>
      </c>
      <c r="F19" s="3">
        <v>45</v>
      </c>
      <c r="G19" s="3">
        <v>120</v>
      </c>
    </row>
    <row r="20" spans="1:7" x14ac:dyDescent="0.25">
      <c r="A20" s="55">
        <v>45819</v>
      </c>
      <c r="B20" s="47" t="s">
        <v>278</v>
      </c>
      <c r="C20" s="50" t="s">
        <v>283</v>
      </c>
      <c r="D20" s="50" t="s">
        <v>279</v>
      </c>
      <c r="E20" s="3">
        <v>105</v>
      </c>
      <c r="F20" s="3">
        <v>45</v>
      </c>
      <c r="G20" s="3">
        <v>150</v>
      </c>
    </row>
    <row r="21" spans="1:7" x14ac:dyDescent="0.25">
      <c r="A21" s="55">
        <v>45812</v>
      </c>
      <c r="B21" s="47" t="s">
        <v>278</v>
      </c>
      <c r="C21" s="50" t="s">
        <v>277</v>
      </c>
      <c r="D21" s="50" t="s">
        <v>273</v>
      </c>
      <c r="E21" s="3">
        <v>54</v>
      </c>
      <c r="F21" s="3">
        <v>45</v>
      </c>
      <c r="G21" s="3">
        <v>99</v>
      </c>
    </row>
    <row r="22" spans="1:7" x14ac:dyDescent="0.25">
      <c r="A22" s="55">
        <v>45782</v>
      </c>
      <c r="B22" s="47" t="s">
        <v>267</v>
      </c>
      <c r="C22" s="50" t="s">
        <v>261</v>
      </c>
      <c r="D22" s="50" t="s">
        <v>256</v>
      </c>
      <c r="E22" s="3">
        <v>55</v>
      </c>
      <c r="F22" s="3">
        <v>45</v>
      </c>
      <c r="G22" s="3">
        <v>100</v>
      </c>
    </row>
    <row r="23" spans="1:7" x14ac:dyDescent="0.25">
      <c r="A23" s="55">
        <v>45782</v>
      </c>
      <c r="B23" s="47">
        <v>193</v>
      </c>
      <c r="C23" s="50" t="s">
        <v>261</v>
      </c>
      <c r="D23" s="50" t="s">
        <v>256</v>
      </c>
      <c r="E23" s="3">
        <v>75</v>
      </c>
      <c r="F23" s="3">
        <v>45</v>
      </c>
      <c r="G23" s="3">
        <v>120</v>
      </c>
    </row>
    <row r="24" spans="1:7" x14ac:dyDescent="0.25">
      <c r="A24" s="55">
        <v>45779</v>
      </c>
      <c r="B24" s="47">
        <v>193</v>
      </c>
      <c r="C24" s="50" t="s">
        <v>255</v>
      </c>
      <c r="D24" s="50" t="s">
        <v>251</v>
      </c>
      <c r="E24" s="3">
        <v>55</v>
      </c>
      <c r="F24" s="3">
        <v>45</v>
      </c>
      <c r="G24" s="3">
        <v>100</v>
      </c>
    </row>
    <row r="25" spans="1:7" x14ac:dyDescent="0.25">
      <c r="A25" s="55">
        <v>45684</v>
      </c>
      <c r="B25" s="47">
        <v>193</v>
      </c>
      <c r="C25" s="50" t="s">
        <v>222</v>
      </c>
      <c r="D25" s="50" t="s">
        <v>218</v>
      </c>
      <c r="E25" s="3">
        <v>55</v>
      </c>
      <c r="F25" s="3">
        <v>45</v>
      </c>
      <c r="G25" s="3">
        <v>100</v>
      </c>
    </row>
    <row r="26" spans="1:7" x14ac:dyDescent="0.25">
      <c r="A26" s="55">
        <v>45684</v>
      </c>
      <c r="B26" s="47">
        <v>193</v>
      </c>
      <c r="C26" s="50" t="s">
        <v>250</v>
      </c>
      <c r="D26" s="50" t="s">
        <v>245</v>
      </c>
      <c r="E26" s="3">
        <v>55</v>
      </c>
      <c r="F26" s="3">
        <v>45</v>
      </c>
      <c r="G26" s="3">
        <v>100</v>
      </c>
    </row>
    <row r="27" spans="1:7" x14ac:dyDescent="0.25">
      <c r="A27" s="55">
        <v>45663</v>
      </c>
      <c r="B27" s="47">
        <v>193</v>
      </c>
      <c r="C27" s="50" t="s">
        <v>238</v>
      </c>
      <c r="D27" s="50" t="s">
        <v>233</v>
      </c>
      <c r="E27" s="3">
        <v>55</v>
      </c>
      <c r="F27" s="3">
        <v>45</v>
      </c>
      <c r="G27" s="3">
        <v>100</v>
      </c>
    </row>
    <row r="28" spans="1:7" x14ac:dyDescent="0.25">
      <c r="A28" s="55">
        <v>45663</v>
      </c>
      <c r="B28" s="47">
        <v>193</v>
      </c>
      <c r="C28" s="50" t="s">
        <v>232</v>
      </c>
      <c r="D28" s="50" t="s">
        <v>228</v>
      </c>
      <c r="E28" s="3">
        <v>55</v>
      </c>
      <c r="F28" s="3">
        <v>45</v>
      </c>
      <c r="G28" s="3">
        <v>100</v>
      </c>
    </row>
    <row r="29" spans="1:7" x14ac:dyDescent="0.25">
      <c r="A29" s="55">
        <v>45654</v>
      </c>
      <c r="B29" s="47">
        <v>193</v>
      </c>
      <c r="C29" s="50" t="s">
        <v>227</v>
      </c>
      <c r="D29" s="50" t="s">
        <v>223</v>
      </c>
      <c r="E29" s="3">
        <v>55</v>
      </c>
      <c r="F29" s="3">
        <v>45</v>
      </c>
      <c r="G29" s="3">
        <v>100</v>
      </c>
    </row>
    <row r="30" spans="1:7" x14ac:dyDescent="0.25">
      <c r="A30" s="55">
        <v>45563</v>
      </c>
      <c r="B30" s="47">
        <v>193</v>
      </c>
      <c r="C30" s="50" t="s">
        <v>208</v>
      </c>
      <c r="D30" s="50" t="s">
        <v>209</v>
      </c>
      <c r="E30" s="3">
        <v>50</v>
      </c>
      <c r="F30" s="3">
        <v>45</v>
      </c>
      <c r="G30" s="3">
        <v>95</v>
      </c>
    </row>
    <row r="31" spans="1:7" x14ac:dyDescent="0.25">
      <c r="A31" s="55">
        <v>45555</v>
      </c>
      <c r="B31" s="47">
        <v>193</v>
      </c>
      <c r="C31" s="50" t="s">
        <v>205</v>
      </c>
      <c r="D31" s="50" t="s">
        <v>201</v>
      </c>
      <c r="E31" s="3">
        <v>50</v>
      </c>
      <c r="F31" s="3">
        <v>45</v>
      </c>
      <c r="G31" s="3">
        <v>95</v>
      </c>
    </row>
    <row r="32" spans="1:7" x14ac:dyDescent="0.25">
      <c r="A32" s="55">
        <v>45551</v>
      </c>
      <c r="B32" s="47">
        <v>193</v>
      </c>
      <c r="C32" s="50" t="s">
        <v>200</v>
      </c>
      <c r="D32" s="50" t="s">
        <v>196</v>
      </c>
      <c r="E32" s="3">
        <v>50</v>
      </c>
      <c r="F32" s="3">
        <v>45</v>
      </c>
      <c r="G32" s="3">
        <v>95</v>
      </c>
    </row>
    <row r="33" spans="1:7" x14ac:dyDescent="0.25">
      <c r="A33" s="55">
        <v>45526</v>
      </c>
      <c r="B33" s="47">
        <v>193</v>
      </c>
      <c r="C33" s="50" t="s">
        <v>189</v>
      </c>
      <c r="D33" s="50" t="s">
        <v>190</v>
      </c>
      <c r="E33" s="3">
        <v>35</v>
      </c>
      <c r="F33" s="3">
        <v>45</v>
      </c>
      <c r="G33" s="3">
        <v>80</v>
      </c>
    </row>
    <row r="34" spans="1:7" x14ac:dyDescent="0.25">
      <c r="A34" s="55">
        <v>45530</v>
      </c>
      <c r="B34" s="47">
        <v>193</v>
      </c>
      <c r="C34" s="50" t="s">
        <v>185</v>
      </c>
      <c r="D34" s="50" t="s">
        <v>180</v>
      </c>
      <c r="E34" s="3">
        <v>40</v>
      </c>
      <c r="F34" s="3">
        <v>45</v>
      </c>
      <c r="G34" s="3">
        <v>85</v>
      </c>
    </row>
    <row r="35" spans="1:7" x14ac:dyDescent="0.25">
      <c r="A35" s="55">
        <v>45527</v>
      </c>
      <c r="B35" s="47">
        <v>193</v>
      </c>
      <c r="C35" s="50" t="s">
        <v>179</v>
      </c>
      <c r="D35" s="50" t="s">
        <v>175</v>
      </c>
      <c r="E35" s="3">
        <v>30</v>
      </c>
      <c r="F35" s="3">
        <v>45</v>
      </c>
      <c r="G35" s="3">
        <v>75</v>
      </c>
    </row>
    <row r="36" spans="1:7" x14ac:dyDescent="0.25">
      <c r="A36" s="55">
        <v>45473</v>
      </c>
      <c r="B36" s="47">
        <v>193</v>
      </c>
      <c r="C36" s="50" t="s">
        <v>174</v>
      </c>
      <c r="D36" s="50" t="s">
        <v>170</v>
      </c>
      <c r="E36" s="3">
        <v>35</v>
      </c>
      <c r="F36" s="3">
        <v>45</v>
      </c>
      <c r="G36" s="3">
        <v>80</v>
      </c>
    </row>
    <row r="37" spans="1:7" x14ac:dyDescent="0.25">
      <c r="A37" s="55">
        <v>45468</v>
      </c>
      <c r="B37" s="47">
        <v>193</v>
      </c>
      <c r="C37" s="50" t="s">
        <v>169</v>
      </c>
      <c r="D37" s="50" t="s">
        <v>165</v>
      </c>
      <c r="E37" s="3">
        <v>35</v>
      </c>
      <c r="F37" s="3">
        <v>45</v>
      </c>
      <c r="G37" s="3">
        <v>80</v>
      </c>
    </row>
    <row r="38" spans="1:7" x14ac:dyDescent="0.25">
      <c r="A38" s="55">
        <v>45054</v>
      </c>
      <c r="B38" s="47">
        <v>193</v>
      </c>
      <c r="C38" s="50" t="s">
        <v>164</v>
      </c>
      <c r="D38" s="50" t="s">
        <v>160</v>
      </c>
      <c r="E38" s="3">
        <v>30</v>
      </c>
      <c r="F38" s="3">
        <v>45</v>
      </c>
      <c r="G38" s="3">
        <v>75</v>
      </c>
    </row>
    <row r="39" spans="1:7" x14ac:dyDescent="0.25">
      <c r="A39" s="55">
        <v>45026</v>
      </c>
      <c r="B39" s="47">
        <v>193</v>
      </c>
      <c r="C39" s="50" t="s">
        <v>159</v>
      </c>
      <c r="D39" s="50" t="s">
        <v>97</v>
      </c>
      <c r="E39" s="3">
        <v>30</v>
      </c>
      <c r="F39" s="3">
        <v>45</v>
      </c>
      <c r="G39" s="3">
        <v>75</v>
      </c>
    </row>
    <row r="40" spans="1:7" x14ac:dyDescent="0.25">
      <c r="A40" s="55">
        <v>45016</v>
      </c>
      <c r="B40" s="47">
        <v>193</v>
      </c>
      <c r="C40" s="50" t="s">
        <v>155</v>
      </c>
      <c r="D40" s="50" t="s">
        <v>151</v>
      </c>
      <c r="E40" s="3">
        <v>30</v>
      </c>
      <c r="F40" s="3">
        <v>45</v>
      </c>
      <c r="G40" s="3">
        <v>75</v>
      </c>
    </row>
    <row r="41" spans="1:7" x14ac:dyDescent="0.25">
      <c r="A41" s="55">
        <v>45015</v>
      </c>
      <c r="B41" s="47">
        <v>193</v>
      </c>
      <c r="C41" s="50" t="s">
        <v>150</v>
      </c>
      <c r="D41" s="50" t="s">
        <v>146</v>
      </c>
      <c r="E41" s="3">
        <v>55</v>
      </c>
      <c r="F41" s="3">
        <v>45</v>
      </c>
      <c r="G41" s="3">
        <v>100</v>
      </c>
    </row>
    <row r="42" spans="1:7" x14ac:dyDescent="0.25">
      <c r="A42" s="55">
        <v>45369</v>
      </c>
      <c r="B42" s="47">
        <v>193</v>
      </c>
      <c r="C42" s="50" t="s">
        <v>82</v>
      </c>
      <c r="D42" s="50" t="s">
        <v>78</v>
      </c>
      <c r="E42" s="3">
        <v>75</v>
      </c>
      <c r="F42" s="3">
        <v>45</v>
      </c>
      <c r="G42" s="3">
        <v>120</v>
      </c>
    </row>
    <row r="43" spans="1:7" x14ac:dyDescent="0.25">
      <c r="A43" s="55">
        <v>45364</v>
      </c>
      <c r="B43" s="47">
        <v>193</v>
      </c>
      <c r="C43" s="50" t="s">
        <v>145</v>
      </c>
      <c r="D43" s="50" t="s">
        <v>141</v>
      </c>
      <c r="E43" s="3">
        <v>75</v>
      </c>
      <c r="F43" s="3">
        <v>45</v>
      </c>
      <c r="G43" s="3">
        <v>120</v>
      </c>
    </row>
    <row r="44" spans="1:7" x14ac:dyDescent="0.25">
      <c r="E44" s="3"/>
      <c r="F44" s="3"/>
      <c r="G44" s="3"/>
    </row>
    <row r="45" spans="1:7" x14ac:dyDescent="0.25">
      <c r="E45" s="3"/>
      <c r="F45" s="3"/>
      <c r="G45" s="3"/>
    </row>
    <row r="46" spans="1:7" x14ac:dyDescent="0.25">
      <c r="E46" s="3"/>
      <c r="F46" s="3"/>
      <c r="G46" s="3"/>
    </row>
    <row r="47" spans="1:7" x14ac:dyDescent="0.25">
      <c r="E47" s="3"/>
      <c r="F47" s="3"/>
      <c r="G47" s="3"/>
    </row>
    <row r="48" spans="1:7" x14ac:dyDescent="0.25">
      <c r="E48" s="3"/>
      <c r="F48" s="3"/>
      <c r="G48" s="3"/>
    </row>
    <row r="49" spans="5:7" x14ac:dyDescent="0.25">
      <c r="E49" s="3"/>
      <c r="F49" s="3"/>
      <c r="G49" s="3"/>
    </row>
    <row r="50" spans="5:7" x14ac:dyDescent="0.25">
      <c r="E50" s="3"/>
      <c r="F50" s="3"/>
      <c r="G50" s="3"/>
    </row>
    <row r="51" spans="5:7" x14ac:dyDescent="0.25">
      <c r="E51" s="3"/>
      <c r="F51" s="3"/>
      <c r="G51" s="3"/>
    </row>
    <row r="52" spans="5:7" x14ac:dyDescent="0.25">
      <c r="E52" s="3"/>
      <c r="F52" s="3"/>
      <c r="G52" s="3"/>
    </row>
    <row r="53" spans="5:7" x14ac:dyDescent="0.25">
      <c r="E53" s="3"/>
      <c r="F53" s="3"/>
      <c r="G53" s="3"/>
    </row>
    <row r="54" spans="5:7" x14ac:dyDescent="0.25">
      <c r="E54" s="3"/>
      <c r="F54" s="3"/>
      <c r="G54" s="3"/>
    </row>
    <row r="55" spans="5:7" x14ac:dyDescent="0.25">
      <c r="E55" s="3"/>
      <c r="F55" s="3"/>
      <c r="G55" s="3"/>
    </row>
    <row r="56" spans="5:7" x14ac:dyDescent="0.25">
      <c r="E56" s="3"/>
      <c r="F56" s="3"/>
      <c r="G56" s="3"/>
    </row>
    <row r="57" spans="5:7" x14ac:dyDescent="0.25">
      <c r="E57" s="3"/>
      <c r="F57" s="3"/>
      <c r="G57" s="3"/>
    </row>
    <row r="58" spans="5:7" x14ac:dyDescent="0.25">
      <c r="E58" s="3"/>
      <c r="F58" s="3"/>
      <c r="G58" s="3"/>
    </row>
    <row r="59" spans="5:7" x14ac:dyDescent="0.25">
      <c r="E59" s="3"/>
      <c r="F59" s="3"/>
      <c r="G59" s="3"/>
    </row>
    <row r="60" spans="5:7" x14ac:dyDescent="0.25">
      <c r="E60" s="3"/>
      <c r="F60" s="3"/>
      <c r="G60" s="3"/>
    </row>
    <row r="61" spans="5:7" x14ac:dyDescent="0.25">
      <c r="E61" s="3"/>
      <c r="F61" s="3"/>
      <c r="G61" s="3"/>
    </row>
    <row r="62" spans="5:7" x14ac:dyDescent="0.25">
      <c r="E62" s="3"/>
      <c r="F62" s="3"/>
      <c r="G62" s="3"/>
    </row>
    <row r="63" spans="5:7" x14ac:dyDescent="0.25">
      <c r="E63" s="3"/>
      <c r="F63" s="3"/>
      <c r="G63" s="3"/>
    </row>
    <row r="64" spans="5:7" x14ac:dyDescent="0.25">
      <c r="E64" s="3"/>
      <c r="F64" s="3"/>
      <c r="G64" s="3"/>
    </row>
    <row r="65" spans="5:7" x14ac:dyDescent="0.25">
      <c r="E65" s="3"/>
      <c r="F65" s="3"/>
      <c r="G65" s="3"/>
    </row>
    <row r="66" spans="5:7" x14ac:dyDescent="0.25">
      <c r="E66" s="3"/>
      <c r="F66" s="3"/>
      <c r="G66" s="3"/>
    </row>
    <row r="67" spans="5:7" x14ac:dyDescent="0.25">
      <c r="E67" s="3"/>
      <c r="F67" s="3"/>
      <c r="G67" s="3"/>
    </row>
    <row r="68" spans="5:7" x14ac:dyDescent="0.25">
      <c r="E68" s="3"/>
      <c r="F68" s="3"/>
      <c r="G68" s="3"/>
    </row>
    <row r="69" spans="5:7" x14ac:dyDescent="0.25">
      <c r="E69" s="3"/>
      <c r="F69" s="3"/>
      <c r="G69" s="3"/>
    </row>
    <row r="70" spans="5:7" x14ac:dyDescent="0.25">
      <c r="E70" s="3"/>
      <c r="F70" s="3"/>
      <c r="G70" s="3"/>
    </row>
    <row r="71" spans="5:7" x14ac:dyDescent="0.25">
      <c r="E71" s="3"/>
      <c r="F71" s="3"/>
      <c r="G71" s="3"/>
    </row>
    <row r="72" spans="5:7" x14ac:dyDescent="0.25">
      <c r="E72" s="3"/>
      <c r="F72" s="3"/>
      <c r="G72" s="3"/>
    </row>
    <row r="73" spans="5:7" x14ac:dyDescent="0.25">
      <c r="E73" s="3"/>
      <c r="F73" s="3"/>
      <c r="G73" s="3"/>
    </row>
    <row r="74" spans="5:7" x14ac:dyDescent="0.25">
      <c r="E74" s="3"/>
      <c r="F74" s="3"/>
      <c r="G74" s="3"/>
    </row>
    <row r="75" spans="5:7" x14ac:dyDescent="0.25">
      <c r="E75" s="3"/>
      <c r="F75" s="3"/>
      <c r="G75" s="3"/>
    </row>
    <row r="76" spans="5:7" x14ac:dyDescent="0.25">
      <c r="E76" s="3"/>
      <c r="F76" s="3"/>
      <c r="G76" s="3"/>
    </row>
    <row r="77" spans="5:7" x14ac:dyDescent="0.25">
      <c r="E77" s="3"/>
      <c r="F77" s="3"/>
      <c r="G77" s="3"/>
    </row>
    <row r="78" spans="5:7" x14ac:dyDescent="0.25">
      <c r="E78" s="3"/>
      <c r="F78" s="3"/>
      <c r="G78" s="3"/>
    </row>
    <row r="79" spans="5:7" x14ac:dyDescent="0.25">
      <c r="E79" s="3"/>
      <c r="F79" s="3"/>
      <c r="G79" s="3"/>
    </row>
    <row r="80" spans="5:7" x14ac:dyDescent="0.25">
      <c r="E80" s="3"/>
      <c r="F80" s="3"/>
      <c r="G80" s="3"/>
    </row>
    <row r="81" spans="5:7" x14ac:dyDescent="0.25">
      <c r="E81" s="3"/>
      <c r="F81" s="3"/>
      <c r="G81" s="3"/>
    </row>
    <row r="82" spans="5:7" x14ac:dyDescent="0.25">
      <c r="E82" s="3"/>
      <c r="F82" s="3"/>
      <c r="G82" s="3"/>
    </row>
    <row r="83" spans="5:7" x14ac:dyDescent="0.25">
      <c r="E83" s="3"/>
      <c r="F83" s="3"/>
      <c r="G83" s="3"/>
    </row>
    <row r="84" spans="5:7" x14ac:dyDescent="0.25">
      <c r="E84" s="3"/>
      <c r="F84" s="3"/>
      <c r="G84" s="3"/>
    </row>
    <row r="85" spans="5:7" x14ac:dyDescent="0.25">
      <c r="E85" s="3"/>
      <c r="F85" s="3"/>
      <c r="G85" s="3"/>
    </row>
    <row r="86" spans="5:7" x14ac:dyDescent="0.25">
      <c r="E86" s="3"/>
      <c r="F86" s="3"/>
      <c r="G86" s="3"/>
    </row>
    <row r="87" spans="5:7" x14ac:dyDescent="0.25">
      <c r="E87" s="3"/>
      <c r="F87" s="3"/>
      <c r="G87" s="3"/>
    </row>
    <row r="88" spans="5:7" x14ac:dyDescent="0.25">
      <c r="E88" s="3"/>
      <c r="F88" s="3"/>
      <c r="G88" s="3"/>
    </row>
    <row r="89" spans="5:7" x14ac:dyDescent="0.25">
      <c r="E89" s="3"/>
      <c r="F89" s="3"/>
      <c r="G89" s="3"/>
    </row>
    <row r="90" spans="5:7" x14ac:dyDescent="0.25">
      <c r="E90" s="3"/>
      <c r="F90" s="3"/>
      <c r="G90" s="3"/>
    </row>
    <row r="91" spans="5:7" x14ac:dyDescent="0.25">
      <c r="E91" s="3"/>
      <c r="F91" s="3"/>
      <c r="G91" s="3"/>
    </row>
    <row r="92" spans="5:7" x14ac:dyDescent="0.25">
      <c r="E92" s="3"/>
      <c r="F92" s="3"/>
      <c r="G92" s="3"/>
    </row>
    <row r="93" spans="5:7" x14ac:dyDescent="0.25">
      <c r="E93" s="3"/>
      <c r="F93" s="3"/>
      <c r="G93" s="3"/>
    </row>
    <row r="94" spans="5:7" x14ac:dyDescent="0.25">
      <c r="E94" s="3"/>
      <c r="F94" s="3"/>
      <c r="G94" s="3"/>
    </row>
    <row r="95" spans="5:7" x14ac:dyDescent="0.25">
      <c r="E95" s="3"/>
      <c r="F95" s="3"/>
      <c r="G95" s="3"/>
    </row>
    <row r="96" spans="5:7" x14ac:dyDescent="0.25">
      <c r="E96" s="3"/>
      <c r="F96" s="3"/>
      <c r="G96" s="3"/>
    </row>
    <row r="97" spans="5:7" x14ac:dyDescent="0.25">
      <c r="E97" s="3"/>
      <c r="F97" s="3"/>
      <c r="G97" s="3"/>
    </row>
    <row r="98" spans="5:7" x14ac:dyDescent="0.25">
      <c r="E98" s="3"/>
      <c r="F98" s="3"/>
      <c r="G98" s="3"/>
    </row>
    <row r="99" spans="5:7" x14ac:dyDescent="0.25">
      <c r="E99" s="3"/>
      <c r="F99" s="3"/>
      <c r="G99" s="3"/>
    </row>
    <row r="100" spans="5:7" x14ac:dyDescent="0.25">
      <c r="E100" s="3"/>
      <c r="F100" s="3"/>
      <c r="G100" s="3"/>
    </row>
    <row r="101" spans="5:7" x14ac:dyDescent="0.25">
      <c r="E101" s="3"/>
      <c r="F101" s="3"/>
      <c r="G101" s="3"/>
    </row>
    <row r="102" spans="5:7" x14ac:dyDescent="0.25">
      <c r="E102" s="3"/>
      <c r="F102" s="3"/>
      <c r="G102" s="3"/>
    </row>
    <row r="103" spans="5:7" x14ac:dyDescent="0.25">
      <c r="E103" s="3"/>
      <c r="F103" s="3"/>
      <c r="G103" s="3"/>
    </row>
    <row r="104" spans="5:7" x14ac:dyDescent="0.25">
      <c r="E104" s="3"/>
      <c r="F104" s="3"/>
      <c r="G104" s="3"/>
    </row>
    <row r="105" spans="5:7" x14ac:dyDescent="0.25">
      <c r="E105" s="3"/>
      <c r="F105" s="3"/>
      <c r="G105" s="3"/>
    </row>
    <row r="106" spans="5:7" x14ac:dyDescent="0.25">
      <c r="E106" s="3"/>
      <c r="F106" s="3"/>
      <c r="G106" s="3"/>
    </row>
    <row r="107" spans="5:7" x14ac:dyDescent="0.25">
      <c r="E107" s="3"/>
      <c r="F107" s="3"/>
      <c r="G107" s="3"/>
    </row>
    <row r="108" spans="5:7" x14ac:dyDescent="0.25">
      <c r="E108" s="3"/>
      <c r="F108" s="3"/>
      <c r="G108" s="3"/>
    </row>
    <row r="109" spans="5:7" x14ac:dyDescent="0.25">
      <c r="E109" s="3"/>
      <c r="F109" s="3"/>
      <c r="G109" s="3"/>
    </row>
    <row r="110" spans="5:7" x14ac:dyDescent="0.25">
      <c r="E110" s="3"/>
      <c r="F110" s="3"/>
      <c r="G110" s="3"/>
    </row>
    <row r="111" spans="5:7" x14ac:dyDescent="0.25">
      <c r="E111" s="3"/>
      <c r="F111" s="3"/>
      <c r="G111" s="3"/>
    </row>
    <row r="112" spans="5:7" x14ac:dyDescent="0.25">
      <c r="E112" s="3"/>
      <c r="F112" s="3"/>
      <c r="G112" s="3"/>
    </row>
    <row r="113" spans="2:7" x14ac:dyDescent="0.25">
      <c r="E113" s="3"/>
      <c r="F113" s="3"/>
      <c r="G113" s="3"/>
    </row>
    <row r="114" spans="2:7" x14ac:dyDescent="0.25">
      <c r="E114" s="3"/>
      <c r="F114" s="3"/>
      <c r="G114" s="3"/>
    </row>
    <row r="115" spans="2:7" x14ac:dyDescent="0.25">
      <c r="E115" s="3"/>
      <c r="F115" s="3"/>
      <c r="G115" s="3"/>
    </row>
    <row r="116" spans="2:7" x14ac:dyDescent="0.25">
      <c r="E116" s="3"/>
      <c r="F116" s="3"/>
      <c r="G116" s="3"/>
    </row>
    <row r="117" spans="2:7" x14ac:dyDescent="0.25">
      <c r="E117" s="3"/>
      <c r="F117" s="3"/>
      <c r="G117" s="3"/>
    </row>
    <row r="118" spans="2:7" x14ac:dyDescent="0.25">
      <c r="E118" s="3"/>
      <c r="F118" s="3"/>
      <c r="G118" s="3"/>
    </row>
    <row r="119" spans="2:7" x14ac:dyDescent="0.25">
      <c r="E119" s="3"/>
      <c r="F119" s="3"/>
      <c r="G119" s="3"/>
    </row>
    <row r="120" spans="2:7" x14ac:dyDescent="0.25">
      <c r="E120" s="3"/>
      <c r="F120" s="3"/>
      <c r="G120" s="3"/>
    </row>
    <row r="121" spans="2:7" x14ac:dyDescent="0.25">
      <c r="B121" s="64"/>
      <c r="E121" s="3"/>
      <c r="F121" s="3"/>
      <c r="G121" s="3"/>
    </row>
    <row r="122" spans="2:7" x14ac:dyDescent="0.25">
      <c r="E122" s="3"/>
      <c r="F122" s="3"/>
      <c r="G122" s="3"/>
    </row>
    <row r="123" spans="2:7" x14ac:dyDescent="0.25">
      <c r="E123" s="3"/>
      <c r="F123" s="3"/>
      <c r="G123" s="3"/>
    </row>
    <row r="124" spans="2:7" x14ac:dyDescent="0.25">
      <c r="E124" s="3"/>
      <c r="F124" s="3"/>
      <c r="G124" s="3"/>
    </row>
    <row r="125" spans="2:7" x14ac:dyDescent="0.25">
      <c r="E125" s="3"/>
      <c r="F125" s="3"/>
      <c r="G125" s="3"/>
    </row>
    <row r="126" spans="2:7" x14ac:dyDescent="0.25">
      <c r="E126" s="3"/>
      <c r="F126" s="3"/>
      <c r="G126" s="3"/>
    </row>
    <row r="127" spans="2:7" x14ac:dyDescent="0.25">
      <c r="E127" s="3"/>
      <c r="F127" s="3"/>
      <c r="G127" s="3"/>
    </row>
    <row r="128" spans="2:7" x14ac:dyDescent="0.25">
      <c r="E128" s="3"/>
      <c r="F128" s="3"/>
      <c r="G128" s="3"/>
    </row>
    <row r="129" spans="5:7" x14ac:dyDescent="0.25">
      <c r="E129" s="3"/>
      <c r="F129" s="3"/>
      <c r="G129" s="3"/>
    </row>
    <row r="130" spans="5:7" x14ac:dyDescent="0.25">
      <c r="E130" s="3"/>
      <c r="F130" s="3"/>
      <c r="G130" s="3"/>
    </row>
    <row r="131" spans="5:7" x14ac:dyDescent="0.25">
      <c r="E131" s="3"/>
      <c r="F131" s="3"/>
      <c r="G131" s="3"/>
    </row>
    <row r="132" spans="5:7" x14ac:dyDescent="0.25">
      <c r="E132" s="3"/>
      <c r="F132" s="3"/>
      <c r="G132" s="3"/>
    </row>
    <row r="133" spans="5:7" x14ac:dyDescent="0.25">
      <c r="E133" s="3"/>
      <c r="F133" s="3"/>
      <c r="G133" s="3"/>
    </row>
    <row r="134" spans="5:7" x14ac:dyDescent="0.25">
      <c r="E134" s="3"/>
      <c r="F134" s="3"/>
      <c r="G134" s="3"/>
    </row>
    <row r="135" spans="5:7" x14ac:dyDescent="0.25">
      <c r="E135" s="3"/>
      <c r="F135" s="3"/>
      <c r="G135" s="3"/>
    </row>
    <row r="136" spans="5:7" x14ac:dyDescent="0.25">
      <c r="E136" s="3"/>
      <c r="F136" s="3"/>
      <c r="G136" s="3"/>
    </row>
    <row r="137" spans="5:7" x14ac:dyDescent="0.25">
      <c r="E137" s="3"/>
      <c r="F137" s="3"/>
      <c r="G137" s="3"/>
    </row>
    <row r="138" spans="5:7" x14ac:dyDescent="0.25">
      <c r="E138" s="3"/>
      <c r="F138" s="3"/>
      <c r="G138" s="3"/>
    </row>
    <row r="139" spans="5:7" x14ac:dyDescent="0.25">
      <c r="E139" s="3"/>
      <c r="F139" s="3"/>
      <c r="G139" s="3"/>
    </row>
    <row r="140" spans="5:7" x14ac:dyDescent="0.25">
      <c r="E140" s="3"/>
      <c r="F140" s="3"/>
      <c r="G140" s="3"/>
    </row>
    <row r="141" spans="5:7" x14ac:dyDescent="0.25">
      <c r="E141" s="3"/>
      <c r="F141" s="3"/>
      <c r="G141" s="3"/>
    </row>
    <row r="142" spans="5:7" x14ac:dyDescent="0.25">
      <c r="E142" s="3"/>
      <c r="F142" s="3"/>
      <c r="G142" s="3"/>
    </row>
    <row r="143" spans="5:7" x14ac:dyDescent="0.25">
      <c r="E143" s="3"/>
      <c r="F143" s="3"/>
      <c r="G143" s="3"/>
    </row>
    <row r="144" spans="5:7" x14ac:dyDescent="0.25">
      <c r="E144" s="3"/>
      <c r="F144" s="3"/>
      <c r="G144" s="3"/>
    </row>
    <row r="145" spans="1:7" x14ac:dyDescent="0.25">
      <c r="E145" s="3"/>
      <c r="F145" s="3"/>
      <c r="G145" s="3"/>
    </row>
    <row r="146" spans="1:7" x14ac:dyDescent="0.25">
      <c r="E146" s="3"/>
      <c r="F146" s="3"/>
      <c r="G146" s="3"/>
    </row>
    <row r="147" spans="1:7" x14ac:dyDescent="0.25">
      <c r="E147" s="3"/>
      <c r="F147" s="3"/>
      <c r="G147" s="3"/>
    </row>
    <row r="148" spans="1:7" x14ac:dyDescent="0.25">
      <c r="E148" s="3"/>
      <c r="F148" s="3"/>
      <c r="G148" s="3"/>
    </row>
    <row r="149" spans="1:7" x14ac:dyDescent="0.25">
      <c r="E149" s="3"/>
      <c r="F149" s="3"/>
      <c r="G149" s="3"/>
    </row>
    <row r="150" spans="1:7" x14ac:dyDescent="0.25">
      <c r="E150" s="3"/>
      <c r="F150" s="3"/>
      <c r="G150" s="3"/>
    </row>
    <row r="151" spans="1:7" x14ac:dyDescent="0.25">
      <c r="E151" s="3"/>
      <c r="F151" s="3"/>
      <c r="G151" s="3"/>
    </row>
    <row r="152" spans="1:7" ht="14.25" customHeight="1" x14ac:dyDescent="0.25">
      <c r="E152" s="3"/>
      <c r="F152" s="3"/>
      <c r="G152" s="3"/>
    </row>
    <row r="153" spans="1:7" x14ac:dyDescent="0.25">
      <c r="E153" s="3"/>
      <c r="F153" s="3"/>
      <c r="G153" s="3"/>
    </row>
    <row r="154" spans="1:7" x14ac:dyDescent="0.25">
      <c r="E154" s="3"/>
      <c r="F154" s="3"/>
      <c r="G154" s="3"/>
    </row>
    <row r="155" spans="1:7" x14ac:dyDescent="0.25">
      <c r="E155" s="3"/>
      <c r="F155" s="3"/>
      <c r="G155" s="3"/>
    </row>
    <row r="156" spans="1:7" x14ac:dyDescent="0.25">
      <c r="E156" s="3"/>
      <c r="F156" s="3"/>
      <c r="G156" s="3"/>
    </row>
    <row r="157" spans="1:7" s="18" customFormat="1" x14ac:dyDescent="0.25">
      <c r="A157" s="55"/>
      <c r="B157" s="47"/>
      <c r="C157" s="54"/>
      <c r="D157" s="54"/>
      <c r="E157" s="19"/>
      <c r="F157" s="19"/>
      <c r="G157" s="19"/>
    </row>
    <row r="158" spans="1:7" x14ac:dyDescent="0.25">
      <c r="E158" s="3"/>
      <c r="F158" s="3"/>
      <c r="G158" s="3"/>
    </row>
    <row r="159" spans="1:7" x14ac:dyDescent="0.25">
      <c r="E159" s="3"/>
      <c r="F159" s="3"/>
      <c r="G159" s="3"/>
    </row>
    <row r="160" spans="1:7" x14ac:dyDescent="0.25">
      <c r="E160" s="3"/>
      <c r="F160" s="3"/>
      <c r="G160" s="3"/>
    </row>
    <row r="161" spans="5:7" x14ac:dyDescent="0.25">
      <c r="E161" s="3"/>
      <c r="F161" s="3"/>
      <c r="G161" s="3"/>
    </row>
    <row r="162" spans="5:7" x14ac:dyDescent="0.25">
      <c r="E162" s="3"/>
      <c r="F162" s="3"/>
      <c r="G162" s="3"/>
    </row>
    <row r="163" spans="5:7" x14ac:dyDescent="0.25">
      <c r="E163" s="3"/>
      <c r="F163" s="3"/>
      <c r="G163" s="3"/>
    </row>
    <row r="164" spans="5:7" x14ac:dyDescent="0.25">
      <c r="E164" s="3"/>
      <c r="F164" s="3"/>
      <c r="G164" s="3"/>
    </row>
    <row r="165" spans="5:7" x14ac:dyDescent="0.25">
      <c r="E165" s="3"/>
      <c r="F165" s="3"/>
      <c r="G165" s="3"/>
    </row>
    <row r="166" spans="5:7" x14ac:dyDescent="0.25">
      <c r="E166" s="3"/>
      <c r="F166" s="3"/>
      <c r="G166" s="3"/>
    </row>
    <row r="167" spans="5:7" x14ac:dyDescent="0.25">
      <c r="E167" s="3"/>
      <c r="F167" s="3"/>
      <c r="G167" s="3"/>
    </row>
    <row r="168" spans="5:7" x14ac:dyDescent="0.25">
      <c r="E168" s="3"/>
      <c r="F168" s="3"/>
      <c r="G168" s="3"/>
    </row>
    <row r="169" spans="5:7" x14ac:dyDescent="0.25">
      <c r="E169" s="3"/>
      <c r="F169" s="3"/>
      <c r="G169" s="3"/>
    </row>
    <row r="170" spans="5:7" x14ac:dyDescent="0.25">
      <c r="E170" s="3"/>
      <c r="F170" s="3"/>
      <c r="G170" s="3"/>
    </row>
    <row r="171" spans="5:7" x14ac:dyDescent="0.25">
      <c r="E171" s="3"/>
      <c r="F171" s="3"/>
      <c r="G171" s="3"/>
    </row>
    <row r="172" spans="5:7" x14ac:dyDescent="0.25">
      <c r="E172" s="3"/>
      <c r="F172" s="3"/>
      <c r="G172" s="3"/>
    </row>
    <row r="173" spans="5:7" x14ac:dyDescent="0.25">
      <c r="E173" s="3"/>
      <c r="F173" s="3"/>
      <c r="G173" s="3"/>
    </row>
    <row r="174" spans="5:7" x14ac:dyDescent="0.25">
      <c r="E174" s="3"/>
      <c r="F174" s="3"/>
      <c r="G174" s="3"/>
    </row>
    <row r="175" spans="5:7" x14ac:dyDescent="0.25">
      <c r="E175" s="3"/>
      <c r="F175" s="3"/>
      <c r="G175" s="3"/>
    </row>
    <row r="176" spans="5:7" x14ac:dyDescent="0.25">
      <c r="E176" s="3"/>
      <c r="F176" s="3"/>
      <c r="G176" s="3"/>
    </row>
    <row r="177" spans="5:7" x14ac:dyDescent="0.25">
      <c r="E177" s="3"/>
      <c r="F177" s="3"/>
      <c r="G177" s="3"/>
    </row>
    <row r="178" spans="5:7" x14ac:dyDescent="0.25">
      <c r="E178" s="3"/>
      <c r="F178" s="3"/>
      <c r="G178" s="3"/>
    </row>
    <row r="179" spans="5:7" x14ac:dyDescent="0.25">
      <c r="E179" s="3"/>
      <c r="F179" s="3"/>
      <c r="G179" s="3"/>
    </row>
    <row r="180" spans="5:7" x14ac:dyDescent="0.25">
      <c r="E180" s="3"/>
      <c r="F180" s="3"/>
      <c r="G180" s="3"/>
    </row>
    <row r="181" spans="5:7" x14ac:dyDescent="0.25">
      <c r="E181" s="3"/>
      <c r="F181" s="3"/>
      <c r="G181" s="3"/>
    </row>
    <row r="182" spans="5:7" x14ac:dyDescent="0.25">
      <c r="E182" s="3"/>
      <c r="F182" s="3"/>
      <c r="G182" s="3"/>
    </row>
    <row r="183" spans="5:7" x14ac:dyDescent="0.25">
      <c r="E183" s="3"/>
      <c r="F183" s="3"/>
      <c r="G183" s="3"/>
    </row>
    <row r="184" spans="5:7" x14ac:dyDescent="0.25">
      <c r="E184" s="3"/>
      <c r="F184" s="3"/>
      <c r="G184" s="3"/>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F7275-FAEA-49D2-8AE9-9108171CB398}">
  <sheetPr codeName="Hoja6"/>
  <dimension ref="B1:G341"/>
  <sheetViews>
    <sheetView topLeftCell="A17" workbookViewId="0">
      <selection activeCell="A37" sqref="A37:XFD37"/>
    </sheetView>
  </sheetViews>
  <sheetFormatPr baseColWidth="10" defaultColWidth="11.42578125" defaultRowHeight="15" x14ac:dyDescent="0.25"/>
  <cols>
    <col min="1" max="1" width="5.42578125" style="76" customWidth="1"/>
    <col min="2" max="2" width="11.42578125" style="77"/>
    <col min="3" max="3" width="34.42578125" style="76" customWidth="1"/>
    <col min="4" max="4" width="24.42578125" customWidth="1"/>
    <col min="5" max="5" width="19.85546875" style="76" customWidth="1"/>
    <col min="6" max="6" width="34.42578125" style="76" customWidth="1"/>
    <col min="7" max="7" width="28.7109375" style="10" customWidth="1"/>
    <col min="8" max="16384" width="11.42578125" style="76"/>
  </cols>
  <sheetData>
    <row r="1" spans="2:7" x14ac:dyDescent="0.25">
      <c r="D1" s="76"/>
    </row>
    <row r="2" spans="2:7" x14ac:dyDescent="0.25">
      <c r="D2" s="76"/>
    </row>
    <row r="3" spans="2:7" ht="16.5" thickBot="1" x14ac:dyDescent="0.3">
      <c r="B3" s="82" t="s">
        <v>128</v>
      </c>
      <c r="C3" s="83" t="s">
        <v>98</v>
      </c>
      <c r="D3" s="84" t="s">
        <v>99</v>
      </c>
      <c r="E3" s="84" t="s">
        <v>129</v>
      </c>
    </row>
    <row r="4" spans="2:7" ht="16.5" thickTop="1" thickBot="1" x14ac:dyDescent="0.3">
      <c r="B4" s="78">
        <v>1</v>
      </c>
      <c r="C4" s="89" t="s">
        <v>66</v>
      </c>
      <c r="D4" s="80" t="s">
        <v>100</v>
      </c>
      <c r="E4" s="94" t="s">
        <v>132</v>
      </c>
      <c r="G4" s="85" t="s">
        <v>130</v>
      </c>
    </row>
    <row r="5" spans="2:7" ht="16.5" thickTop="1" thickBot="1" x14ac:dyDescent="0.3">
      <c r="B5" s="79">
        <v>2</v>
      </c>
      <c r="C5" s="90" t="s">
        <v>64</v>
      </c>
      <c r="D5" s="81" t="s">
        <v>101</v>
      </c>
      <c r="E5" s="94" t="s">
        <v>132</v>
      </c>
      <c r="G5" s="86" t="s">
        <v>131</v>
      </c>
    </row>
    <row r="6" spans="2:7" ht="16.5" thickTop="1" thickBot="1" x14ac:dyDescent="0.3">
      <c r="B6" s="79">
        <v>3</v>
      </c>
      <c r="C6" s="90" t="s">
        <v>71</v>
      </c>
      <c r="D6" s="81" t="s">
        <v>102</v>
      </c>
      <c r="E6" s="94" t="s">
        <v>132</v>
      </c>
      <c r="G6" s="86" t="s">
        <v>133</v>
      </c>
    </row>
    <row r="7" spans="2:7" ht="16.5" thickTop="1" thickBot="1" x14ac:dyDescent="0.3">
      <c r="B7" s="79">
        <v>4</v>
      </c>
      <c r="C7" s="90" t="s">
        <v>57</v>
      </c>
      <c r="D7" s="81" t="s">
        <v>103</v>
      </c>
      <c r="E7" s="94" t="s">
        <v>132</v>
      </c>
      <c r="G7" s="86" t="s">
        <v>132</v>
      </c>
    </row>
    <row r="8" spans="2:7" ht="16.5" thickTop="1" thickBot="1" x14ac:dyDescent="0.3">
      <c r="B8" s="79">
        <v>5</v>
      </c>
      <c r="C8" s="90" t="s">
        <v>42</v>
      </c>
      <c r="D8" s="81" t="s">
        <v>104</v>
      </c>
      <c r="E8" s="94" t="s">
        <v>132</v>
      </c>
      <c r="G8" s="86" t="s">
        <v>135</v>
      </c>
    </row>
    <row r="9" spans="2:7" ht="16.5" thickTop="1" thickBot="1" x14ac:dyDescent="0.3">
      <c r="B9" s="79">
        <v>6</v>
      </c>
      <c r="C9" s="90" t="s">
        <v>68</v>
      </c>
      <c r="D9" s="81" t="s">
        <v>101</v>
      </c>
      <c r="E9" s="94" t="s">
        <v>132</v>
      </c>
      <c r="G9" s="86" t="s">
        <v>134</v>
      </c>
    </row>
    <row r="10" spans="2:7" ht="16.5" thickTop="1" thickBot="1" x14ac:dyDescent="0.3">
      <c r="B10" s="79">
        <v>7</v>
      </c>
      <c r="C10" s="90" t="s">
        <v>67</v>
      </c>
      <c r="D10" s="81" t="s">
        <v>101</v>
      </c>
      <c r="E10" s="94" t="s">
        <v>132</v>
      </c>
      <c r="G10" s="86" t="s">
        <v>136</v>
      </c>
    </row>
    <row r="11" spans="2:7" ht="16.5" thickTop="1" thickBot="1" x14ac:dyDescent="0.3">
      <c r="B11" s="79">
        <v>8</v>
      </c>
      <c r="C11" s="90" t="s">
        <v>58</v>
      </c>
      <c r="D11" s="81" t="s">
        <v>105</v>
      </c>
      <c r="E11" s="94" t="s">
        <v>132</v>
      </c>
      <c r="G11" s="86" t="s">
        <v>137</v>
      </c>
    </row>
    <row r="12" spans="2:7" ht="16.5" thickTop="1" thickBot="1" x14ac:dyDescent="0.3">
      <c r="B12" s="79">
        <v>9</v>
      </c>
      <c r="C12" s="90" t="s">
        <v>106</v>
      </c>
      <c r="D12" s="81" t="s">
        <v>107</v>
      </c>
      <c r="E12" s="94" t="s">
        <v>132</v>
      </c>
      <c r="G12" s="86" t="s">
        <v>138</v>
      </c>
    </row>
    <row r="13" spans="2:7" ht="16.5" thickTop="1" thickBot="1" x14ac:dyDescent="0.3">
      <c r="B13" s="79">
        <v>10</v>
      </c>
      <c r="C13" s="90" t="s">
        <v>85</v>
      </c>
      <c r="D13" s="81" t="s">
        <v>108</v>
      </c>
      <c r="E13" s="94" t="s">
        <v>132</v>
      </c>
      <c r="G13" s="86" t="s">
        <v>139</v>
      </c>
    </row>
    <row r="14" spans="2:7" ht="16.5" thickTop="1" thickBot="1" x14ac:dyDescent="0.3">
      <c r="B14" s="79">
        <v>11</v>
      </c>
      <c r="C14" s="90" t="s">
        <v>74</v>
      </c>
      <c r="D14" s="81" t="s">
        <v>109</v>
      </c>
      <c r="E14" s="94" t="s">
        <v>132</v>
      </c>
      <c r="G14" s="87" t="s">
        <v>140</v>
      </c>
    </row>
    <row r="15" spans="2:7" ht="16.5" thickTop="1" thickBot="1" x14ac:dyDescent="0.3">
      <c r="B15" s="79">
        <v>12</v>
      </c>
      <c r="C15" s="90" t="s">
        <v>60</v>
      </c>
      <c r="D15" s="81" t="s">
        <v>110</v>
      </c>
      <c r="E15" s="94" t="s">
        <v>132</v>
      </c>
    </row>
    <row r="16" spans="2:7" ht="16.5" thickTop="1" thickBot="1" x14ac:dyDescent="0.3">
      <c r="B16" s="79">
        <v>13</v>
      </c>
      <c r="C16" s="90" t="s">
        <v>76</v>
      </c>
      <c r="D16" s="81" t="s">
        <v>111</v>
      </c>
      <c r="E16" s="94" t="s">
        <v>132</v>
      </c>
    </row>
    <row r="17" spans="2:5" ht="16.5" thickTop="1" thickBot="1" x14ac:dyDescent="0.3">
      <c r="B17" s="79">
        <v>14</v>
      </c>
      <c r="C17" s="90" t="s">
        <v>61</v>
      </c>
      <c r="D17" s="81" t="s">
        <v>112</v>
      </c>
      <c r="E17" s="94" t="s">
        <v>132</v>
      </c>
    </row>
    <row r="18" spans="2:5" ht="16.5" thickTop="1" thickBot="1" x14ac:dyDescent="0.3">
      <c r="B18" s="79">
        <v>15</v>
      </c>
      <c r="C18" s="90" t="s">
        <v>113</v>
      </c>
      <c r="D18" s="81" t="s">
        <v>114</v>
      </c>
      <c r="E18" s="94" t="s">
        <v>132</v>
      </c>
    </row>
    <row r="19" spans="2:5" ht="16.5" thickTop="1" thickBot="1" x14ac:dyDescent="0.3">
      <c r="B19" s="79">
        <v>16</v>
      </c>
      <c r="C19" s="90" t="s">
        <v>97</v>
      </c>
      <c r="D19" s="81" t="s">
        <v>115</v>
      </c>
      <c r="E19" s="94" t="s">
        <v>132</v>
      </c>
    </row>
    <row r="20" spans="2:5" ht="16.5" thickTop="1" thickBot="1" x14ac:dyDescent="0.3">
      <c r="B20" s="79">
        <v>17</v>
      </c>
      <c r="C20" s="90" t="s">
        <v>116</v>
      </c>
      <c r="D20" s="81" t="s">
        <v>117</v>
      </c>
      <c r="E20" s="94" t="s">
        <v>132</v>
      </c>
    </row>
    <row r="21" spans="2:5" ht="16.5" thickTop="1" thickBot="1" x14ac:dyDescent="0.3">
      <c r="B21" s="79">
        <v>18</v>
      </c>
      <c r="C21" s="90" t="s">
        <v>83</v>
      </c>
      <c r="D21" s="81" t="s">
        <v>118</v>
      </c>
      <c r="E21" s="94" t="s">
        <v>132</v>
      </c>
    </row>
    <row r="22" spans="2:5" ht="16.5" thickTop="1" thickBot="1" x14ac:dyDescent="0.3">
      <c r="B22" s="79">
        <v>19</v>
      </c>
      <c r="C22" s="90" t="s">
        <v>72</v>
      </c>
      <c r="D22" s="81" t="s">
        <v>119</v>
      </c>
      <c r="E22" s="94" t="s">
        <v>132</v>
      </c>
    </row>
    <row r="23" spans="2:5" ht="16.5" thickTop="1" thickBot="1" x14ac:dyDescent="0.3">
      <c r="B23" s="79">
        <v>20</v>
      </c>
      <c r="C23" s="90" t="s">
        <v>93</v>
      </c>
      <c r="D23" s="81" t="s">
        <v>120</v>
      </c>
      <c r="E23" s="94" t="s">
        <v>132</v>
      </c>
    </row>
    <row r="24" spans="2:5" ht="16.5" thickTop="1" thickBot="1" x14ac:dyDescent="0.3">
      <c r="B24" s="79">
        <v>21</v>
      </c>
      <c r="C24" s="90" t="s">
        <v>77</v>
      </c>
      <c r="D24" s="81" t="s">
        <v>121</v>
      </c>
      <c r="E24" s="94" t="s">
        <v>132</v>
      </c>
    </row>
    <row r="25" spans="2:5" ht="16.5" thickTop="1" thickBot="1" x14ac:dyDescent="0.3">
      <c r="B25" s="79">
        <v>22</v>
      </c>
      <c r="C25" s="90" t="s">
        <v>94</v>
      </c>
      <c r="D25" s="81" t="s">
        <v>111</v>
      </c>
      <c r="E25" s="94" t="s">
        <v>132</v>
      </c>
    </row>
    <row r="26" spans="2:5" ht="16.5" thickTop="1" thickBot="1" x14ac:dyDescent="0.3">
      <c r="B26" s="79">
        <v>23</v>
      </c>
      <c r="C26" s="90" t="s">
        <v>73</v>
      </c>
      <c r="D26" s="81" t="s">
        <v>101</v>
      </c>
      <c r="E26" s="94" t="s">
        <v>132</v>
      </c>
    </row>
    <row r="27" spans="2:5" ht="16.5" thickTop="1" thickBot="1" x14ac:dyDescent="0.3">
      <c r="B27" s="79">
        <v>24</v>
      </c>
      <c r="C27" s="90" t="s">
        <v>75</v>
      </c>
      <c r="D27" s="81" t="s">
        <v>101</v>
      </c>
      <c r="E27" s="94" t="s">
        <v>132</v>
      </c>
    </row>
    <row r="28" spans="2:5" ht="16.5" thickTop="1" thickBot="1" x14ac:dyDescent="0.3">
      <c r="B28" s="79">
        <v>25</v>
      </c>
      <c r="C28" s="90" t="s">
        <v>68</v>
      </c>
      <c r="D28" s="81" t="s">
        <v>101</v>
      </c>
      <c r="E28" s="94" t="s">
        <v>132</v>
      </c>
    </row>
    <row r="29" spans="2:5" ht="16.5" thickTop="1" thickBot="1" x14ac:dyDescent="0.3">
      <c r="B29" s="79">
        <v>26</v>
      </c>
      <c r="C29" s="90" t="s">
        <v>92</v>
      </c>
      <c r="D29" s="81" t="s">
        <v>122</v>
      </c>
      <c r="E29" s="94" t="s">
        <v>132</v>
      </c>
    </row>
    <row r="30" spans="2:5" ht="16.5" thickTop="1" thickBot="1" x14ac:dyDescent="0.3">
      <c r="B30" s="79">
        <v>27</v>
      </c>
      <c r="C30" s="90" t="s">
        <v>96</v>
      </c>
      <c r="D30" s="81" t="s">
        <v>123</v>
      </c>
      <c r="E30" s="94" t="s">
        <v>132</v>
      </c>
    </row>
    <row r="31" spans="2:5" ht="16.5" thickTop="1" thickBot="1" x14ac:dyDescent="0.3">
      <c r="B31" s="79">
        <v>28</v>
      </c>
      <c r="C31" s="90" t="s">
        <v>56</v>
      </c>
      <c r="D31" s="81" t="s">
        <v>125</v>
      </c>
      <c r="E31" s="94" t="s">
        <v>132</v>
      </c>
    </row>
    <row r="32" spans="2:5" ht="16.5" thickTop="1" thickBot="1" x14ac:dyDescent="0.3">
      <c r="B32" s="79">
        <v>29</v>
      </c>
      <c r="C32" s="90" t="s">
        <v>106</v>
      </c>
      <c r="D32" s="81" t="s">
        <v>107</v>
      </c>
      <c r="E32" s="94" t="s">
        <v>132</v>
      </c>
    </row>
    <row r="33" spans="2:5" ht="16.5" thickTop="1" thickBot="1" x14ac:dyDescent="0.3">
      <c r="B33" s="79">
        <v>30</v>
      </c>
      <c r="C33" s="90" t="s">
        <v>84</v>
      </c>
      <c r="D33" s="81" t="s">
        <v>124</v>
      </c>
      <c r="E33" s="94" t="s">
        <v>132</v>
      </c>
    </row>
    <row r="34" spans="2:5" ht="16.5" thickTop="1" thickBot="1" x14ac:dyDescent="0.3">
      <c r="B34" s="79">
        <v>31</v>
      </c>
      <c r="C34" s="90" t="s">
        <v>84</v>
      </c>
      <c r="D34" s="81" t="s">
        <v>124</v>
      </c>
      <c r="E34" s="94" t="s">
        <v>132</v>
      </c>
    </row>
    <row r="35" spans="2:5" ht="16.5" thickTop="1" thickBot="1" x14ac:dyDescent="0.3">
      <c r="B35" s="79">
        <v>32</v>
      </c>
      <c r="C35" s="90" t="s">
        <v>95</v>
      </c>
      <c r="D35" s="81" t="s">
        <v>126</v>
      </c>
      <c r="E35" s="94" t="s">
        <v>132</v>
      </c>
    </row>
    <row r="36" spans="2:5" ht="15.75" thickTop="1" x14ac:dyDescent="0.25">
      <c r="B36" s="79">
        <v>33</v>
      </c>
      <c r="C36" s="90" t="s">
        <v>78</v>
      </c>
      <c r="D36" s="81" t="s">
        <v>127</v>
      </c>
      <c r="E36" s="94" t="s">
        <v>132</v>
      </c>
    </row>
    <row r="37" spans="2:5" x14ac:dyDescent="0.25">
      <c r="B37" s="79">
        <v>34</v>
      </c>
      <c r="C37" s="91" t="s">
        <v>97</v>
      </c>
      <c r="D37" s="88">
        <v>9562935023</v>
      </c>
      <c r="E37" s="95" t="s">
        <v>132</v>
      </c>
    </row>
    <row r="38" spans="2:5" x14ac:dyDescent="0.25">
      <c r="B38" s="79">
        <v>35</v>
      </c>
      <c r="C38" s="91" t="s">
        <v>96</v>
      </c>
      <c r="D38" s="88">
        <v>8322724833</v>
      </c>
      <c r="E38" s="95" t="s">
        <v>132</v>
      </c>
    </row>
    <row r="39" spans="2:5" x14ac:dyDescent="0.25">
      <c r="B39" s="79">
        <v>36</v>
      </c>
      <c r="C39" s="91" t="s">
        <v>95</v>
      </c>
      <c r="D39" s="88">
        <v>8329160160</v>
      </c>
      <c r="E39" s="95" t="s">
        <v>132</v>
      </c>
    </row>
    <row r="40" spans="2:5" x14ac:dyDescent="0.25">
      <c r="B40" s="79">
        <v>37</v>
      </c>
      <c r="C40" s="91" t="s">
        <v>94</v>
      </c>
      <c r="D40" s="88">
        <v>9569990771</v>
      </c>
      <c r="E40" s="95" t="s">
        <v>132</v>
      </c>
    </row>
    <row r="41" spans="2:5" x14ac:dyDescent="0.25">
      <c r="B41" s="79">
        <v>38</v>
      </c>
      <c r="C41" s="91" t="s">
        <v>92</v>
      </c>
      <c r="D41" s="88">
        <v>9568845875</v>
      </c>
      <c r="E41" s="95" t="s">
        <v>132</v>
      </c>
    </row>
    <row r="42" spans="2:5" x14ac:dyDescent="0.25">
      <c r="B42" s="79">
        <v>39</v>
      </c>
      <c r="C42" s="91" t="s">
        <v>78</v>
      </c>
      <c r="D42" s="88">
        <v>2816233402</v>
      </c>
      <c r="E42" s="95" t="s">
        <v>132</v>
      </c>
    </row>
    <row r="43" spans="2:5" x14ac:dyDescent="0.25">
      <c r="B43" s="79">
        <v>40</v>
      </c>
      <c r="C43" s="91" t="s">
        <v>71</v>
      </c>
      <c r="D43" s="88">
        <v>8329235782</v>
      </c>
      <c r="E43" s="95" t="s">
        <v>132</v>
      </c>
    </row>
    <row r="44" spans="2:5" x14ac:dyDescent="0.25">
      <c r="B44" s="79">
        <v>41</v>
      </c>
      <c r="C44" s="91" t="s">
        <v>57</v>
      </c>
      <c r="D44" s="88">
        <v>2149002337</v>
      </c>
      <c r="E44" s="95" t="s">
        <v>132</v>
      </c>
    </row>
    <row r="45" spans="2:5" ht="30" x14ac:dyDescent="0.25">
      <c r="B45" s="79">
        <v>42</v>
      </c>
      <c r="C45" s="91" t="s">
        <v>141</v>
      </c>
      <c r="D45" s="88">
        <v>8328961420</v>
      </c>
      <c r="E45" s="95" t="s">
        <v>140</v>
      </c>
    </row>
    <row r="46" spans="2:5" x14ac:dyDescent="0.25">
      <c r="B46" s="79"/>
      <c r="C46" s="92"/>
      <c r="D46" s="93"/>
      <c r="E46" s="95"/>
    </row>
    <row r="47" spans="2:5" x14ac:dyDescent="0.25">
      <c r="B47" s="79"/>
      <c r="C47" s="92"/>
      <c r="D47" s="93"/>
      <c r="E47" s="95"/>
    </row>
    <row r="48" spans="2:5" x14ac:dyDescent="0.25">
      <c r="B48" s="79"/>
      <c r="C48" s="92"/>
      <c r="D48" s="93"/>
      <c r="E48" s="95"/>
    </row>
    <row r="49" spans="2:5" x14ac:dyDescent="0.25">
      <c r="B49" s="79"/>
      <c r="C49" s="92"/>
      <c r="D49" s="93"/>
      <c r="E49" s="95"/>
    </row>
    <row r="50" spans="2:5" x14ac:dyDescent="0.25">
      <c r="B50" s="79"/>
      <c r="C50" s="92"/>
      <c r="D50" s="93"/>
      <c r="E50" s="95"/>
    </row>
    <row r="51" spans="2:5" x14ac:dyDescent="0.25">
      <c r="B51" s="79"/>
      <c r="C51" s="92"/>
      <c r="D51" s="93"/>
      <c r="E51" s="95"/>
    </row>
    <row r="52" spans="2:5" x14ac:dyDescent="0.25">
      <c r="B52" s="79"/>
      <c r="C52" s="92"/>
      <c r="D52" s="93"/>
      <c r="E52" s="95"/>
    </row>
    <row r="53" spans="2:5" x14ac:dyDescent="0.25">
      <c r="B53" s="79"/>
      <c r="C53" s="92"/>
      <c r="D53" s="93"/>
      <c r="E53" s="95"/>
    </row>
    <row r="54" spans="2:5" x14ac:dyDescent="0.25">
      <c r="B54" s="79"/>
      <c r="C54" s="92"/>
      <c r="D54" s="93"/>
      <c r="E54" s="95"/>
    </row>
    <row r="55" spans="2:5" x14ac:dyDescent="0.25">
      <c r="B55" s="79"/>
      <c r="C55" s="92"/>
      <c r="D55" s="93"/>
      <c r="E55" s="95"/>
    </row>
    <row r="56" spans="2:5" x14ac:dyDescent="0.25">
      <c r="B56" s="79"/>
      <c r="C56" s="92"/>
      <c r="D56" s="93"/>
      <c r="E56" s="95"/>
    </row>
    <row r="57" spans="2:5" x14ac:dyDescent="0.25">
      <c r="B57" s="79"/>
      <c r="C57" s="92"/>
      <c r="D57" s="93"/>
      <c r="E57" s="95"/>
    </row>
    <row r="58" spans="2:5" x14ac:dyDescent="0.25">
      <c r="B58" s="79"/>
      <c r="C58" s="92"/>
      <c r="D58" s="93"/>
      <c r="E58" s="95"/>
    </row>
    <row r="59" spans="2:5" x14ac:dyDescent="0.25">
      <c r="B59" s="79"/>
      <c r="C59" s="92"/>
      <c r="D59" s="93"/>
      <c r="E59" s="95"/>
    </row>
    <row r="60" spans="2:5" x14ac:dyDescent="0.25">
      <c r="B60" s="79"/>
      <c r="C60" s="92"/>
      <c r="D60" s="93"/>
      <c r="E60" s="95"/>
    </row>
    <row r="61" spans="2:5" x14ac:dyDescent="0.25">
      <c r="B61" s="79"/>
      <c r="C61" s="92"/>
      <c r="D61" s="93"/>
      <c r="E61" s="95"/>
    </row>
    <row r="62" spans="2:5" x14ac:dyDescent="0.25">
      <c r="B62" s="79"/>
      <c r="C62" s="92"/>
      <c r="D62" s="93"/>
      <c r="E62" s="95"/>
    </row>
    <row r="63" spans="2:5" x14ac:dyDescent="0.25">
      <c r="B63" s="79"/>
      <c r="C63" s="92"/>
      <c r="D63" s="93"/>
      <c r="E63" s="95"/>
    </row>
    <row r="64" spans="2:5" x14ac:dyDescent="0.25">
      <c r="B64" s="79"/>
      <c r="C64" s="92"/>
      <c r="D64" s="93"/>
      <c r="E64" s="95"/>
    </row>
    <row r="65" spans="2:5" x14ac:dyDescent="0.25">
      <c r="B65" s="79"/>
      <c r="C65" s="92"/>
      <c r="D65" s="93"/>
      <c r="E65" s="95"/>
    </row>
    <row r="66" spans="2:5" x14ac:dyDescent="0.25">
      <c r="B66" s="79"/>
      <c r="C66" s="92"/>
      <c r="D66" s="93"/>
      <c r="E66" s="95"/>
    </row>
    <row r="67" spans="2:5" x14ac:dyDescent="0.25">
      <c r="B67" s="79"/>
      <c r="C67" s="92"/>
      <c r="D67" s="93"/>
      <c r="E67" s="95"/>
    </row>
    <row r="68" spans="2:5" x14ac:dyDescent="0.25">
      <c r="B68" s="79"/>
      <c r="C68" s="92"/>
      <c r="D68" s="93"/>
      <c r="E68" s="95"/>
    </row>
    <row r="69" spans="2:5" x14ac:dyDescent="0.25">
      <c r="B69" s="79"/>
      <c r="C69" s="92"/>
      <c r="D69" s="93"/>
      <c r="E69" s="95"/>
    </row>
    <row r="70" spans="2:5" x14ac:dyDescent="0.25">
      <c r="B70" s="79"/>
      <c r="C70" s="92"/>
      <c r="D70" s="93"/>
      <c r="E70" s="95"/>
    </row>
    <row r="71" spans="2:5" x14ac:dyDescent="0.25">
      <c r="B71" s="79"/>
      <c r="C71" s="92"/>
      <c r="D71" s="93"/>
      <c r="E71" s="95"/>
    </row>
    <row r="72" spans="2:5" x14ac:dyDescent="0.25">
      <c r="B72" s="79"/>
      <c r="C72" s="92"/>
      <c r="D72" s="93"/>
      <c r="E72" s="95"/>
    </row>
    <row r="73" spans="2:5" x14ac:dyDescent="0.25">
      <c r="B73" s="79"/>
      <c r="C73" s="92"/>
      <c r="D73" s="93"/>
      <c r="E73" s="95"/>
    </row>
    <row r="74" spans="2:5" x14ac:dyDescent="0.25">
      <c r="B74" s="79"/>
      <c r="C74" s="92"/>
      <c r="D74" s="93"/>
      <c r="E74" s="95"/>
    </row>
    <row r="75" spans="2:5" x14ac:dyDescent="0.25">
      <c r="B75" s="79"/>
      <c r="C75" s="92"/>
      <c r="D75" s="93"/>
      <c r="E75" s="95"/>
    </row>
    <row r="76" spans="2:5" x14ac:dyDescent="0.25">
      <c r="B76" s="79"/>
      <c r="C76" s="92"/>
      <c r="D76" s="93"/>
      <c r="E76" s="95"/>
    </row>
    <row r="77" spans="2:5" x14ac:dyDescent="0.25">
      <c r="B77" s="79"/>
      <c r="C77" s="92"/>
      <c r="D77" s="93"/>
      <c r="E77" s="95"/>
    </row>
    <row r="78" spans="2:5" x14ac:dyDescent="0.25">
      <c r="B78" s="79"/>
      <c r="C78" s="92"/>
      <c r="D78" s="93"/>
      <c r="E78" s="95"/>
    </row>
    <row r="79" spans="2:5" x14ac:dyDescent="0.25">
      <c r="B79" s="79"/>
      <c r="C79" s="92"/>
      <c r="D79" s="93"/>
      <c r="E79" s="95"/>
    </row>
    <row r="80" spans="2:5" x14ac:dyDescent="0.25">
      <c r="B80" s="79"/>
      <c r="C80" s="92"/>
      <c r="D80" s="93"/>
      <c r="E80" s="95"/>
    </row>
    <row r="81" spans="2:5" x14ac:dyDescent="0.25">
      <c r="B81" s="79"/>
      <c r="C81" s="92"/>
      <c r="D81" s="93"/>
      <c r="E81" s="95"/>
    </row>
    <row r="82" spans="2:5" x14ac:dyDescent="0.25">
      <c r="B82" s="79"/>
      <c r="C82" s="92"/>
      <c r="D82" s="93"/>
      <c r="E82" s="95"/>
    </row>
    <row r="83" spans="2:5" x14ac:dyDescent="0.25">
      <c r="B83" s="79"/>
      <c r="C83" s="92"/>
      <c r="D83" s="93"/>
      <c r="E83" s="95"/>
    </row>
    <row r="84" spans="2:5" x14ac:dyDescent="0.25">
      <c r="B84" s="79"/>
      <c r="C84" s="92"/>
      <c r="D84" s="93"/>
      <c r="E84" s="95"/>
    </row>
    <row r="85" spans="2:5" x14ac:dyDescent="0.25">
      <c r="B85" s="79"/>
      <c r="C85" s="92"/>
      <c r="D85" s="93"/>
      <c r="E85" s="95"/>
    </row>
    <row r="86" spans="2:5" x14ac:dyDescent="0.25">
      <c r="B86" s="79"/>
      <c r="C86" s="92"/>
      <c r="D86" s="93"/>
      <c r="E86" s="95"/>
    </row>
    <row r="87" spans="2:5" x14ac:dyDescent="0.25">
      <c r="B87" s="79"/>
      <c r="C87" s="92"/>
      <c r="D87" s="93"/>
      <c r="E87" s="95"/>
    </row>
    <row r="88" spans="2:5" x14ac:dyDescent="0.25">
      <c r="B88" s="79"/>
      <c r="C88" s="92"/>
      <c r="D88" s="93"/>
      <c r="E88" s="95"/>
    </row>
    <row r="89" spans="2:5" x14ac:dyDescent="0.25">
      <c r="B89" s="79"/>
      <c r="C89" s="92"/>
      <c r="D89" s="93"/>
      <c r="E89" s="95"/>
    </row>
    <row r="90" spans="2:5" x14ac:dyDescent="0.25">
      <c r="B90" s="79"/>
      <c r="C90" s="92"/>
      <c r="D90" s="93"/>
      <c r="E90" s="95"/>
    </row>
    <row r="91" spans="2:5" x14ac:dyDescent="0.25">
      <c r="B91" s="79"/>
      <c r="C91" s="92"/>
      <c r="D91" s="93"/>
      <c r="E91" s="95"/>
    </row>
    <row r="92" spans="2:5" x14ac:dyDescent="0.25">
      <c r="B92" s="79"/>
      <c r="C92" s="92"/>
      <c r="D92" s="93"/>
      <c r="E92" s="95"/>
    </row>
    <row r="93" spans="2:5" x14ac:dyDescent="0.25">
      <c r="B93" s="79"/>
      <c r="C93" s="92"/>
      <c r="D93" s="93"/>
      <c r="E93" s="95"/>
    </row>
    <row r="94" spans="2:5" x14ac:dyDescent="0.25">
      <c r="B94" s="79"/>
      <c r="C94" s="92"/>
      <c r="D94" s="93"/>
      <c r="E94" s="95"/>
    </row>
    <row r="95" spans="2:5" x14ac:dyDescent="0.25">
      <c r="B95" s="79"/>
      <c r="C95" s="92"/>
      <c r="D95" s="93"/>
      <c r="E95" s="95"/>
    </row>
    <row r="96" spans="2:5" x14ac:dyDescent="0.25">
      <c r="B96" s="79"/>
      <c r="C96" s="92"/>
      <c r="D96" s="93"/>
      <c r="E96" s="95"/>
    </row>
    <row r="97" spans="2:5" x14ac:dyDescent="0.25">
      <c r="B97" s="79"/>
      <c r="C97" s="92"/>
      <c r="D97" s="93"/>
      <c r="E97" s="95"/>
    </row>
    <row r="98" spans="2:5" x14ac:dyDescent="0.25">
      <c r="B98" s="79"/>
      <c r="C98" s="92"/>
      <c r="D98" s="93"/>
      <c r="E98" s="95"/>
    </row>
    <row r="99" spans="2:5" x14ac:dyDescent="0.25">
      <c r="B99" s="79"/>
      <c r="C99" s="92"/>
      <c r="D99" s="93"/>
      <c r="E99" s="95"/>
    </row>
    <row r="100" spans="2:5" x14ac:dyDescent="0.25">
      <c r="B100" s="79"/>
      <c r="C100" s="92"/>
      <c r="D100" s="93"/>
      <c r="E100" s="95"/>
    </row>
    <row r="101" spans="2:5" x14ac:dyDescent="0.25">
      <c r="B101" s="79"/>
      <c r="C101" s="92"/>
      <c r="D101" s="93"/>
      <c r="E101" s="95"/>
    </row>
    <row r="102" spans="2:5" x14ac:dyDescent="0.25">
      <c r="B102" s="79"/>
      <c r="C102" s="92"/>
      <c r="D102" s="93"/>
      <c r="E102" s="95"/>
    </row>
    <row r="103" spans="2:5" x14ac:dyDescent="0.25">
      <c r="B103" s="79"/>
      <c r="C103" s="92"/>
      <c r="D103" s="93"/>
      <c r="E103" s="95"/>
    </row>
    <row r="104" spans="2:5" x14ac:dyDescent="0.25">
      <c r="B104" s="79"/>
      <c r="C104" s="92"/>
      <c r="D104" s="93"/>
      <c r="E104" s="95"/>
    </row>
    <row r="105" spans="2:5" x14ac:dyDescent="0.25">
      <c r="B105" s="79"/>
      <c r="C105" s="92"/>
      <c r="D105" s="93"/>
      <c r="E105" s="95"/>
    </row>
    <row r="106" spans="2:5" x14ac:dyDescent="0.25">
      <c r="B106" s="79"/>
      <c r="C106" s="92"/>
      <c r="D106" s="93"/>
      <c r="E106" s="95"/>
    </row>
    <row r="107" spans="2:5" x14ac:dyDescent="0.25">
      <c r="B107" s="79"/>
      <c r="C107" s="92"/>
      <c r="D107" s="93"/>
      <c r="E107" s="95"/>
    </row>
    <row r="108" spans="2:5" x14ac:dyDescent="0.25">
      <c r="B108" s="79"/>
      <c r="C108" s="92"/>
      <c r="D108" s="93"/>
      <c r="E108" s="95"/>
    </row>
    <row r="109" spans="2:5" x14ac:dyDescent="0.25">
      <c r="B109" s="79"/>
      <c r="C109" s="92"/>
      <c r="D109" s="93"/>
      <c r="E109" s="95"/>
    </row>
    <row r="110" spans="2:5" x14ac:dyDescent="0.25">
      <c r="B110" s="79"/>
      <c r="C110" s="92"/>
      <c r="D110" s="93"/>
      <c r="E110" s="95"/>
    </row>
    <row r="111" spans="2:5" x14ac:dyDescent="0.25">
      <c r="B111" s="79"/>
      <c r="C111" s="92"/>
      <c r="D111" s="93"/>
      <c r="E111" s="95"/>
    </row>
    <row r="112" spans="2:5" x14ac:dyDescent="0.25">
      <c r="B112" s="79"/>
      <c r="C112" s="92"/>
      <c r="D112" s="93"/>
      <c r="E112" s="95"/>
    </row>
    <row r="113" spans="2:5" x14ac:dyDescent="0.25">
      <c r="B113" s="79"/>
      <c r="C113" s="92"/>
      <c r="D113" s="93"/>
      <c r="E113" s="95"/>
    </row>
    <row r="114" spans="2:5" x14ac:dyDescent="0.25">
      <c r="B114" s="79"/>
      <c r="C114" s="92"/>
      <c r="D114" s="93"/>
      <c r="E114" s="95"/>
    </row>
    <row r="115" spans="2:5" x14ac:dyDescent="0.25">
      <c r="B115" s="79"/>
      <c r="C115" s="92"/>
      <c r="D115" s="93"/>
      <c r="E115" s="95"/>
    </row>
    <row r="116" spans="2:5" x14ac:dyDescent="0.25">
      <c r="B116" s="79"/>
      <c r="C116" s="92"/>
      <c r="D116" s="93"/>
      <c r="E116" s="95"/>
    </row>
    <row r="117" spans="2:5" x14ac:dyDescent="0.25">
      <c r="B117" s="79"/>
      <c r="C117" s="92"/>
      <c r="D117" s="93"/>
      <c r="E117" s="95"/>
    </row>
    <row r="118" spans="2:5" x14ac:dyDescent="0.25">
      <c r="B118" s="79"/>
      <c r="C118" s="92"/>
      <c r="D118" s="93"/>
      <c r="E118" s="95"/>
    </row>
    <row r="119" spans="2:5" x14ac:dyDescent="0.25">
      <c r="B119" s="79"/>
      <c r="C119" s="92"/>
      <c r="D119" s="93"/>
      <c r="E119" s="95"/>
    </row>
    <row r="120" spans="2:5" x14ac:dyDescent="0.25">
      <c r="B120" s="79"/>
      <c r="C120" s="92"/>
      <c r="D120" s="93"/>
      <c r="E120" s="95"/>
    </row>
    <row r="121" spans="2:5" x14ac:dyDescent="0.25">
      <c r="B121" s="79"/>
      <c r="C121" s="92"/>
      <c r="D121" s="93"/>
      <c r="E121" s="95"/>
    </row>
    <row r="122" spans="2:5" x14ac:dyDescent="0.25">
      <c r="B122" s="79"/>
      <c r="C122" s="92"/>
      <c r="D122" s="93"/>
      <c r="E122" s="95"/>
    </row>
    <row r="123" spans="2:5" x14ac:dyDescent="0.25">
      <c r="B123" s="79"/>
      <c r="C123" s="92"/>
      <c r="D123" s="93"/>
      <c r="E123" s="95"/>
    </row>
    <row r="124" spans="2:5" x14ac:dyDescent="0.25">
      <c r="B124" s="79"/>
      <c r="C124" s="92"/>
      <c r="D124" s="93"/>
      <c r="E124" s="95"/>
    </row>
    <row r="125" spans="2:5" x14ac:dyDescent="0.25">
      <c r="B125" s="79"/>
      <c r="C125" s="92"/>
      <c r="D125" s="93"/>
      <c r="E125" s="95"/>
    </row>
    <row r="126" spans="2:5" x14ac:dyDescent="0.25">
      <c r="B126" s="79"/>
      <c r="C126" s="92"/>
      <c r="D126" s="93"/>
      <c r="E126" s="95"/>
    </row>
    <row r="127" spans="2:5" x14ac:dyDescent="0.25">
      <c r="B127" s="79"/>
      <c r="C127" s="92"/>
      <c r="D127" s="93"/>
      <c r="E127" s="95"/>
    </row>
    <row r="128" spans="2:5" x14ac:dyDescent="0.25">
      <c r="B128" s="79"/>
      <c r="C128" s="92"/>
      <c r="D128" s="93"/>
      <c r="E128" s="95"/>
    </row>
    <row r="129" spans="2:5" x14ac:dyDescent="0.25">
      <c r="B129" s="79"/>
      <c r="C129" s="92"/>
      <c r="D129" s="93"/>
      <c r="E129" s="95"/>
    </row>
    <row r="130" spans="2:5" x14ac:dyDescent="0.25">
      <c r="B130" s="79"/>
      <c r="C130" s="92"/>
      <c r="D130" s="93"/>
      <c r="E130" s="95"/>
    </row>
    <row r="131" spans="2:5" x14ac:dyDescent="0.25">
      <c r="B131" s="79"/>
      <c r="C131" s="92"/>
      <c r="D131" s="93"/>
      <c r="E131" s="95"/>
    </row>
    <row r="132" spans="2:5" x14ac:dyDescent="0.25">
      <c r="B132" s="79"/>
      <c r="C132" s="92"/>
      <c r="D132" s="93"/>
      <c r="E132" s="95"/>
    </row>
    <row r="133" spans="2:5" x14ac:dyDescent="0.25">
      <c r="B133" s="79"/>
      <c r="C133" s="92"/>
      <c r="D133" s="93"/>
      <c r="E133" s="95"/>
    </row>
    <row r="134" spans="2:5" x14ac:dyDescent="0.25">
      <c r="B134" s="79"/>
      <c r="C134" s="92"/>
      <c r="D134" s="93"/>
      <c r="E134" s="95"/>
    </row>
    <row r="135" spans="2:5" x14ac:dyDescent="0.25">
      <c r="B135" s="79"/>
      <c r="C135" s="92"/>
      <c r="D135" s="93"/>
      <c r="E135" s="95"/>
    </row>
    <row r="136" spans="2:5" x14ac:dyDescent="0.25">
      <c r="B136" s="79"/>
      <c r="C136" s="92"/>
      <c r="D136" s="93"/>
      <c r="E136" s="95"/>
    </row>
    <row r="137" spans="2:5" x14ac:dyDescent="0.25">
      <c r="B137" s="79"/>
      <c r="C137" s="92"/>
      <c r="D137" s="93"/>
      <c r="E137" s="95"/>
    </row>
    <row r="138" spans="2:5" x14ac:dyDescent="0.25">
      <c r="B138" s="79"/>
      <c r="C138" s="92"/>
      <c r="D138" s="93"/>
      <c r="E138" s="95"/>
    </row>
    <row r="139" spans="2:5" x14ac:dyDescent="0.25">
      <c r="B139" s="79"/>
      <c r="C139" s="92"/>
      <c r="D139" s="93"/>
      <c r="E139" s="95"/>
    </row>
    <row r="140" spans="2:5" x14ac:dyDescent="0.25">
      <c r="B140" s="79"/>
      <c r="C140" s="92"/>
      <c r="D140" s="93"/>
      <c r="E140" s="95"/>
    </row>
    <row r="141" spans="2:5" x14ac:dyDescent="0.25">
      <c r="B141" s="79"/>
      <c r="C141" s="92"/>
      <c r="D141" s="93"/>
      <c r="E141" s="95"/>
    </row>
    <row r="142" spans="2:5" x14ac:dyDescent="0.25">
      <c r="B142" s="79"/>
      <c r="C142" s="92"/>
      <c r="D142" s="93"/>
      <c r="E142" s="95"/>
    </row>
    <row r="143" spans="2:5" x14ac:dyDescent="0.25">
      <c r="B143" s="79"/>
      <c r="C143" s="92"/>
      <c r="D143" s="93"/>
      <c r="E143" s="95"/>
    </row>
    <row r="144" spans="2:5" x14ac:dyDescent="0.25">
      <c r="B144" s="79"/>
      <c r="C144" s="92"/>
      <c r="D144" s="93"/>
      <c r="E144" s="95"/>
    </row>
    <row r="145" spans="2:5" x14ac:dyDescent="0.25">
      <c r="B145" s="79"/>
      <c r="C145" s="92"/>
      <c r="D145" s="93"/>
      <c r="E145" s="95"/>
    </row>
    <row r="146" spans="2:5" x14ac:dyDescent="0.25">
      <c r="B146" s="79"/>
      <c r="C146" s="92"/>
      <c r="D146" s="93"/>
      <c r="E146" s="95"/>
    </row>
    <row r="147" spans="2:5" x14ac:dyDescent="0.25">
      <c r="B147" s="79"/>
      <c r="C147" s="92"/>
      <c r="D147" s="93"/>
      <c r="E147" s="95"/>
    </row>
    <row r="148" spans="2:5" x14ac:dyDescent="0.25">
      <c r="B148" s="79"/>
      <c r="C148" s="92"/>
      <c r="D148" s="93"/>
      <c r="E148" s="95"/>
    </row>
    <row r="149" spans="2:5" x14ac:dyDescent="0.25">
      <c r="B149" s="79"/>
      <c r="C149" s="92"/>
      <c r="D149" s="93"/>
      <c r="E149" s="95"/>
    </row>
    <row r="150" spans="2:5" x14ac:dyDescent="0.25">
      <c r="B150" s="79"/>
      <c r="C150" s="92"/>
      <c r="D150" s="93"/>
      <c r="E150" s="95"/>
    </row>
    <row r="151" spans="2:5" x14ac:dyDescent="0.25">
      <c r="B151" s="79"/>
      <c r="C151" s="92"/>
      <c r="D151" s="93"/>
      <c r="E151" s="95"/>
    </row>
    <row r="152" spans="2:5" x14ac:dyDescent="0.25">
      <c r="B152" s="79"/>
      <c r="C152" s="92"/>
      <c r="D152" s="93"/>
      <c r="E152" s="95"/>
    </row>
    <row r="153" spans="2:5" x14ac:dyDescent="0.25">
      <c r="B153" s="79"/>
      <c r="C153" s="92"/>
      <c r="D153" s="93"/>
      <c r="E153" s="95"/>
    </row>
    <row r="154" spans="2:5" x14ac:dyDescent="0.25">
      <c r="B154" s="79"/>
      <c r="C154" s="92"/>
      <c r="D154" s="93"/>
      <c r="E154" s="95"/>
    </row>
    <row r="155" spans="2:5" x14ac:dyDescent="0.25">
      <c r="B155" s="79"/>
      <c r="C155" s="92"/>
      <c r="D155" s="93"/>
      <c r="E155" s="95"/>
    </row>
    <row r="156" spans="2:5" x14ac:dyDescent="0.25">
      <c r="B156" s="79"/>
      <c r="C156" s="92"/>
      <c r="D156" s="93"/>
      <c r="E156" s="95"/>
    </row>
    <row r="157" spans="2:5" x14ac:dyDescent="0.25">
      <c r="B157" s="79"/>
      <c r="C157" s="92"/>
      <c r="D157" s="93"/>
      <c r="E157" s="95"/>
    </row>
    <row r="158" spans="2:5" x14ac:dyDescent="0.25">
      <c r="B158" s="79"/>
      <c r="C158" s="92"/>
      <c r="D158" s="93"/>
      <c r="E158" s="95"/>
    </row>
    <row r="159" spans="2:5" x14ac:dyDescent="0.25">
      <c r="B159" s="79"/>
      <c r="C159" s="92"/>
      <c r="D159" s="93"/>
      <c r="E159" s="95"/>
    </row>
    <row r="160" spans="2:5" x14ac:dyDescent="0.25">
      <c r="B160" s="79"/>
      <c r="C160" s="92"/>
      <c r="D160" s="93"/>
      <c r="E160" s="95"/>
    </row>
    <row r="161" spans="2:5" x14ac:dyDescent="0.25">
      <c r="B161" s="79"/>
      <c r="C161" s="92"/>
      <c r="D161" s="93"/>
      <c r="E161" s="95"/>
    </row>
    <row r="162" spans="2:5" x14ac:dyDescent="0.25">
      <c r="B162" s="79"/>
      <c r="C162" s="92"/>
      <c r="D162" s="93"/>
      <c r="E162" s="95"/>
    </row>
    <row r="163" spans="2:5" x14ac:dyDescent="0.25">
      <c r="B163" s="79"/>
      <c r="C163" s="92"/>
      <c r="D163" s="93"/>
      <c r="E163" s="95"/>
    </row>
    <row r="164" spans="2:5" x14ac:dyDescent="0.25">
      <c r="B164" s="79"/>
      <c r="C164" s="92"/>
      <c r="D164" s="93"/>
      <c r="E164" s="95"/>
    </row>
    <row r="165" spans="2:5" x14ac:dyDescent="0.25">
      <c r="B165" s="79"/>
      <c r="C165" s="92"/>
      <c r="D165" s="93"/>
      <c r="E165" s="95"/>
    </row>
    <row r="166" spans="2:5" x14ac:dyDescent="0.25">
      <c r="B166" s="79"/>
      <c r="C166" s="92"/>
      <c r="D166" s="93"/>
      <c r="E166" s="95"/>
    </row>
    <row r="167" spans="2:5" x14ac:dyDescent="0.25">
      <c r="B167" s="79"/>
      <c r="C167" s="92"/>
      <c r="D167" s="93"/>
      <c r="E167" s="95"/>
    </row>
    <row r="168" spans="2:5" x14ac:dyDescent="0.25">
      <c r="B168" s="79"/>
      <c r="C168" s="92"/>
      <c r="D168" s="93"/>
      <c r="E168" s="95"/>
    </row>
    <row r="169" spans="2:5" x14ac:dyDescent="0.25">
      <c r="B169" s="79"/>
      <c r="C169" s="92"/>
      <c r="D169" s="93"/>
      <c r="E169" s="95"/>
    </row>
    <row r="170" spans="2:5" x14ac:dyDescent="0.25">
      <c r="B170" s="79"/>
      <c r="C170" s="92"/>
      <c r="D170" s="93"/>
      <c r="E170" s="95"/>
    </row>
    <row r="171" spans="2:5" x14ac:dyDescent="0.25">
      <c r="B171" s="79"/>
      <c r="C171" s="92"/>
      <c r="D171" s="93"/>
      <c r="E171" s="95"/>
    </row>
    <row r="172" spans="2:5" x14ac:dyDescent="0.25">
      <c r="B172" s="79"/>
      <c r="C172" s="92"/>
      <c r="D172" s="93"/>
      <c r="E172" s="95"/>
    </row>
    <row r="173" spans="2:5" x14ac:dyDescent="0.25">
      <c r="B173" s="79"/>
      <c r="C173" s="92"/>
      <c r="D173" s="93"/>
      <c r="E173" s="95"/>
    </row>
    <row r="174" spans="2:5" x14ac:dyDescent="0.25">
      <c r="B174" s="79"/>
      <c r="C174" s="92"/>
      <c r="D174" s="93"/>
      <c r="E174" s="95"/>
    </row>
    <row r="175" spans="2:5" x14ac:dyDescent="0.25">
      <c r="B175" s="79"/>
      <c r="C175" s="92"/>
      <c r="D175" s="93"/>
      <c r="E175" s="95"/>
    </row>
    <row r="176" spans="2:5" x14ac:dyDescent="0.25">
      <c r="B176" s="79"/>
      <c r="C176" s="92"/>
      <c r="D176" s="93"/>
      <c r="E176" s="95"/>
    </row>
    <row r="177" spans="2:5" x14ac:dyDescent="0.25">
      <c r="B177" s="79"/>
      <c r="C177" s="92"/>
      <c r="D177" s="93"/>
      <c r="E177" s="95"/>
    </row>
    <row r="178" spans="2:5" x14ac:dyDescent="0.25">
      <c r="B178" s="79"/>
      <c r="C178" s="92"/>
      <c r="D178" s="93"/>
      <c r="E178" s="95"/>
    </row>
    <row r="179" spans="2:5" x14ac:dyDescent="0.25">
      <c r="B179" s="79"/>
      <c r="C179" s="92"/>
      <c r="D179" s="93"/>
      <c r="E179" s="95"/>
    </row>
    <row r="180" spans="2:5" x14ac:dyDescent="0.25">
      <c r="B180" s="79"/>
      <c r="C180" s="92"/>
      <c r="D180" s="93"/>
      <c r="E180" s="95"/>
    </row>
    <row r="181" spans="2:5" x14ac:dyDescent="0.25">
      <c r="B181" s="79"/>
      <c r="C181" s="92"/>
      <c r="D181" s="93"/>
      <c r="E181" s="95"/>
    </row>
    <row r="182" spans="2:5" x14ac:dyDescent="0.25">
      <c r="B182" s="79"/>
      <c r="C182" s="92"/>
      <c r="D182" s="93"/>
      <c r="E182" s="95"/>
    </row>
    <row r="183" spans="2:5" x14ac:dyDescent="0.25">
      <c r="B183" s="79"/>
      <c r="C183" s="92"/>
      <c r="D183" s="93"/>
      <c r="E183" s="95"/>
    </row>
    <row r="184" spans="2:5" x14ac:dyDescent="0.25">
      <c r="B184" s="79"/>
      <c r="C184" s="92"/>
      <c r="D184" s="93"/>
      <c r="E184" s="95"/>
    </row>
    <row r="185" spans="2:5" x14ac:dyDescent="0.25">
      <c r="B185" s="79"/>
      <c r="C185" s="92"/>
      <c r="D185" s="93"/>
      <c r="E185" s="95"/>
    </row>
    <row r="186" spans="2:5" x14ac:dyDescent="0.25">
      <c r="B186" s="79"/>
      <c r="C186" s="92"/>
      <c r="D186" s="93"/>
      <c r="E186" s="95"/>
    </row>
    <row r="187" spans="2:5" x14ac:dyDescent="0.25">
      <c r="B187" s="79"/>
      <c r="C187" s="92"/>
      <c r="D187" s="93"/>
      <c r="E187" s="95"/>
    </row>
    <row r="188" spans="2:5" x14ac:dyDescent="0.25">
      <c r="B188" s="79"/>
      <c r="C188" s="92"/>
      <c r="D188" s="93"/>
      <c r="E188" s="95"/>
    </row>
    <row r="189" spans="2:5" x14ac:dyDescent="0.25">
      <c r="B189" s="79"/>
      <c r="C189" s="92"/>
      <c r="D189" s="93"/>
      <c r="E189" s="95"/>
    </row>
    <row r="190" spans="2:5" x14ac:dyDescent="0.25">
      <c r="B190" s="79"/>
      <c r="C190" s="92"/>
      <c r="D190" s="93"/>
      <c r="E190" s="95"/>
    </row>
    <row r="191" spans="2:5" x14ac:dyDescent="0.25">
      <c r="B191" s="79"/>
      <c r="C191" s="92"/>
      <c r="D191" s="93"/>
      <c r="E191" s="95"/>
    </row>
    <row r="192" spans="2:5" x14ac:dyDescent="0.25">
      <c r="B192" s="79"/>
      <c r="C192" s="92"/>
      <c r="D192" s="93"/>
      <c r="E192" s="95"/>
    </row>
    <row r="193" spans="2:5" x14ac:dyDescent="0.25">
      <c r="B193" s="79"/>
      <c r="C193" s="92"/>
      <c r="D193" s="93"/>
      <c r="E193" s="95"/>
    </row>
    <row r="194" spans="2:5" x14ac:dyDescent="0.25">
      <c r="B194" s="79"/>
      <c r="C194" s="92"/>
      <c r="D194" s="93"/>
      <c r="E194" s="95"/>
    </row>
    <row r="195" spans="2:5" x14ac:dyDescent="0.25">
      <c r="B195" s="79"/>
      <c r="C195" s="92"/>
      <c r="D195" s="93"/>
      <c r="E195" s="95"/>
    </row>
    <row r="196" spans="2:5" x14ac:dyDescent="0.25">
      <c r="B196" s="79"/>
      <c r="C196" s="92"/>
      <c r="D196" s="93"/>
      <c r="E196" s="95"/>
    </row>
    <row r="197" spans="2:5" x14ac:dyDescent="0.25">
      <c r="B197" s="79"/>
      <c r="C197" s="92"/>
      <c r="D197" s="93"/>
      <c r="E197" s="95"/>
    </row>
    <row r="198" spans="2:5" x14ac:dyDescent="0.25">
      <c r="B198" s="79"/>
      <c r="C198" s="92"/>
      <c r="D198" s="93"/>
      <c r="E198" s="95"/>
    </row>
    <row r="199" spans="2:5" x14ac:dyDescent="0.25">
      <c r="B199" s="79"/>
      <c r="C199" s="92"/>
      <c r="D199" s="93"/>
      <c r="E199" s="95"/>
    </row>
    <row r="200" spans="2:5" x14ac:dyDescent="0.25">
      <c r="B200" s="79"/>
      <c r="C200" s="92"/>
      <c r="D200" s="93"/>
      <c r="E200" s="95"/>
    </row>
    <row r="201" spans="2:5" x14ac:dyDescent="0.25">
      <c r="B201" s="79"/>
      <c r="C201" s="92"/>
      <c r="D201" s="93"/>
      <c r="E201" s="95"/>
    </row>
    <row r="202" spans="2:5" x14ac:dyDescent="0.25">
      <c r="B202" s="79"/>
      <c r="C202" s="92"/>
      <c r="D202" s="93"/>
      <c r="E202" s="95"/>
    </row>
    <row r="203" spans="2:5" x14ac:dyDescent="0.25">
      <c r="B203" s="79"/>
      <c r="C203" s="92"/>
      <c r="D203" s="93"/>
      <c r="E203" s="95"/>
    </row>
    <row r="204" spans="2:5" x14ac:dyDescent="0.25">
      <c r="B204" s="79"/>
      <c r="C204" s="92"/>
      <c r="D204" s="93"/>
      <c r="E204" s="95"/>
    </row>
    <row r="205" spans="2:5" x14ac:dyDescent="0.25">
      <c r="B205" s="79"/>
      <c r="C205" s="92"/>
      <c r="D205" s="93"/>
      <c r="E205" s="95"/>
    </row>
    <row r="206" spans="2:5" x14ac:dyDescent="0.25">
      <c r="B206" s="79"/>
      <c r="C206" s="92"/>
      <c r="D206" s="93"/>
      <c r="E206" s="95"/>
    </row>
    <row r="207" spans="2:5" x14ac:dyDescent="0.25">
      <c r="B207" s="79"/>
      <c r="C207" s="92"/>
      <c r="D207" s="93"/>
      <c r="E207" s="95"/>
    </row>
    <row r="208" spans="2:5" x14ac:dyDescent="0.25">
      <c r="B208" s="79"/>
      <c r="C208" s="92"/>
      <c r="D208" s="93"/>
      <c r="E208" s="95"/>
    </row>
    <row r="209" spans="2:5" x14ac:dyDescent="0.25">
      <c r="B209" s="79"/>
      <c r="C209" s="92"/>
      <c r="D209" s="93"/>
      <c r="E209" s="95"/>
    </row>
    <row r="210" spans="2:5" x14ac:dyDescent="0.25">
      <c r="B210" s="79"/>
      <c r="C210" s="92"/>
      <c r="D210" s="93"/>
      <c r="E210" s="95"/>
    </row>
    <row r="211" spans="2:5" x14ac:dyDescent="0.25">
      <c r="B211" s="79"/>
      <c r="C211" s="92"/>
      <c r="D211" s="93"/>
      <c r="E211" s="95"/>
    </row>
    <row r="212" spans="2:5" x14ac:dyDescent="0.25">
      <c r="B212" s="79"/>
      <c r="C212" s="92"/>
      <c r="D212" s="93"/>
      <c r="E212" s="95"/>
    </row>
    <row r="213" spans="2:5" x14ac:dyDescent="0.25">
      <c r="B213" s="79"/>
      <c r="C213" s="92"/>
      <c r="D213" s="93"/>
      <c r="E213" s="95"/>
    </row>
    <row r="214" spans="2:5" x14ac:dyDescent="0.25">
      <c r="B214" s="79"/>
      <c r="C214" s="92"/>
      <c r="D214" s="93"/>
      <c r="E214" s="95"/>
    </row>
    <row r="215" spans="2:5" x14ac:dyDescent="0.25">
      <c r="B215" s="79"/>
      <c r="C215" s="92"/>
      <c r="D215" s="93"/>
      <c r="E215" s="95"/>
    </row>
    <row r="216" spans="2:5" x14ac:dyDescent="0.25">
      <c r="B216" s="79"/>
      <c r="C216" s="92"/>
      <c r="D216" s="93"/>
      <c r="E216" s="95"/>
    </row>
    <row r="217" spans="2:5" x14ac:dyDescent="0.25">
      <c r="B217" s="79"/>
      <c r="C217" s="92"/>
      <c r="D217" s="93"/>
      <c r="E217" s="95"/>
    </row>
    <row r="218" spans="2:5" x14ac:dyDescent="0.25">
      <c r="B218" s="79"/>
      <c r="C218" s="92"/>
      <c r="D218" s="93"/>
      <c r="E218" s="95"/>
    </row>
    <row r="219" spans="2:5" x14ac:dyDescent="0.25">
      <c r="B219" s="79"/>
      <c r="C219" s="92"/>
      <c r="D219" s="93"/>
      <c r="E219" s="95"/>
    </row>
    <row r="220" spans="2:5" x14ac:dyDescent="0.25">
      <c r="B220" s="79"/>
      <c r="C220" s="92"/>
      <c r="D220" s="93"/>
      <c r="E220" s="95"/>
    </row>
    <row r="221" spans="2:5" x14ac:dyDescent="0.25">
      <c r="B221" s="79"/>
      <c r="C221" s="92"/>
      <c r="D221" s="93"/>
      <c r="E221" s="95"/>
    </row>
    <row r="222" spans="2:5" x14ac:dyDescent="0.25">
      <c r="B222" s="79"/>
      <c r="C222" s="92"/>
      <c r="D222" s="93"/>
      <c r="E222" s="95"/>
    </row>
    <row r="223" spans="2:5" x14ac:dyDescent="0.25">
      <c r="B223" s="79"/>
      <c r="C223" s="92"/>
      <c r="D223" s="93"/>
      <c r="E223" s="95"/>
    </row>
    <row r="224" spans="2:5" x14ac:dyDescent="0.25">
      <c r="B224" s="79"/>
      <c r="C224" s="92"/>
      <c r="D224" s="93"/>
      <c r="E224" s="95"/>
    </row>
    <row r="225" spans="2:5" x14ac:dyDescent="0.25">
      <c r="B225" s="79"/>
      <c r="C225" s="92"/>
      <c r="D225" s="93"/>
      <c r="E225" s="95"/>
    </row>
    <row r="226" spans="2:5" x14ac:dyDescent="0.25">
      <c r="B226" s="79"/>
      <c r="C226" s="92"/>
      <c r="D226" s="93"/>
      <c r="E226" s="95"/>
    </row>
    <row r="227" spans="2:5" x14ac:dyDescent="0.25">
      <c r="B227" s="79"/>
      <c r="C227" s="92"/>
      <c r="D227" s="93"/>
      <c r="E227" s="95"/>
    </row>
    <row r="228" spans="2:5" x14ac:dyDescent="0.25">
      <c r="B228" s="79"/>
      <c r="C228" s="92"/>
      <c r="D228" s="93"/>
      <c r="E228" s="95"/>
    </row>
    <row r="229" spans="2:5" x14ac:dyDescent="0.25">
      <c r="B229" s="79"/>
      <c r="C229" s="92"/>
      <c r="D229" s="93"/>
      <c r="E229" s="95"/>
    </row>
    <row r="230" spans="2:5" x14ac:dyDescent="0.25">
      <c r="B230" s="79"/>
      <c r="C230" s="92"/>
      <c r="D230" s="93"/>
      <c r="E230" s="95"/>
    </row>
    <row r="231" spans="2:5" x14ac:dyDescent="0.25">
      <c r="B231" s="79"/>
      <c r="C231" s="92"/>
      <c r="D231" s="93"/>
      <c r="E231" s="95"/>
    </row>
    <row r="232" spans="2:5" x14ac:dyDescent="0.25">
      <c r="B232" s="79"/>
      <c r="C232" s="92"/>
      <c r="D232" s="93"/>
      <c r="E232" s="95"/>
    </row>
    <row r="233" spans="2:5" x14ac:dyDescent="0.25">
      <c r="B233" s="79"/>
      <c r="C233" s="92"/>
      <c r="D233" s="93"/>
      <c r="E233" s="95"/>
    </row>
    <row r="234" spans="2:5" x14ac:dyDescent="0.25">
      <c r="B234" s="79"/>
      <c r="C234" s="92"/>
      <c r="D234" s="93"/>
      <c r="E234" s="95"/>
    </row>
    <row r="235" spans="2:5" x14ac:dyDescent="0.25">
      <c r="B235" s="79"/>
      <c r="C235" s="92"/>
      <c r="D235" s="93"/>
      <c r="E235" s="95"/>
    </row>
    <row r="236" spans="2:5" x14ac:dyDescent="0.25">
      <c r="B236" s="79"/>
      <c r="C236" s="92"/>
      <c r="D236" s="93"/>
      <c r="E236" s="95"/>
    </row>
    <row r="237" spans="2:5" x14ac:dyDescent="0.25">
      <c r="B237" s="79"/>
      <c r="C237" s="92"/>
      <c r="D237" s="93"/>
      <c r="E237" s="95"/>
    </row>
    <row r="238" spans="2:5" x14ac:dyDescent="0.25">
      <c r="B238" s="79"/>
      <c r="C238" s="92"/>
      <c r="D238" s="93"/>
      <c r="E238" s="95"/>
    </row>
    <row r="239" spans="2:5" x14ac:dyDescent="0.25">
      <c r="B239" s="79"/>
      <c r="C239" s="92"/>
      <c r="D239" s="93"/>
      <c r="E239" s="95"/>
    </row>
    <row r="240" spans="2:5" x14ac:dyDescent="0.25">
      <c r="B240" s="79"/>
      <c r="C240" s="92"/>
      <c r="D240" s="93"/>
      <c r="E240" s="95"/>
    </row>
    <row r="241" spans="2:5" x14ac:dyDescent="0.25">
      <c r="B241" s="79"/>
      <c r="C241" s="92"/>
      <c r="D241" s="93"/>
      <c r="E241" s="95"/>
    </row>
    <row r="242" spans="2:5" x14ac:dyDescent="0.25">
      <c r="B242" s="79"/>
      <c r="C242" s="92"/>
      <c r="D242" s="93"/>
      <c r="E242" s="95"/>
    </row>
    <row r="243" spans="2:5" x14ac:dyDescent="0.25">
      <c r="B243" s="79"/>
      <c r="C243" s="92"/>
      <c r="D243" s="93"/>
      <c r="E243" s="95"/>
    </row>
    <row r="244" spans="2:5" x14ac:dyDescent="0.25">
      <c r="B244" s="79"/>
      <c r="C244" s="92"/>
      <c r="D244" s="93"/>
      <c r="E244" s="95"/>
    </row>
    <row r="245" spans="2:5" x14ac:dyDescent="0.25">
      <c r="B245" s="79"/>
      <c r="C245" s="92"/>
      <c r="D245" s="93"/>
      <c r="E245" s="95"/>
    </row>
    <row r="246" spans="2:5" x14ac:dyDescent="0.25">
      <c r="B246" s="79"/>
      <c r="C246" s="92"/>
      <c r="D246" s="93"/>
      <c r="E246" s="95"/>
    </row>
    <row r="247" spans="2:5" x14ac:dyDescent="0.25">
      <c r="B247" s="79"/>
      <c r="C247" s="92"/>
      <c r="D247" s="93"/>
      <c r="E247" s="95"/>
    </row>
    <row r="248" spans="2:5" x14ac:dyDescent="0.25">
      <c r="B248" s="79"/>
      <c r="C248" s="92"/>
      <c r="D248" s="93"/>
      <c r="E248" s="95"/>
    </row>
    <row r="249" spans="2:5" x14ac:dyDescent="0.25">
      <c r="B249" s="79"/>
      <c r="C249" s="92"/>
      <c r="D249" s="93"/>
      <c r="E249" s="95"/>
    </row>
    <row r="250" spans="2:5" x14ac:dyDescent="0.25">
      <c r="B250" s="79"/>
      <c r="C250" s="92"/>
      <c r="D250" s="93"/>
      <c r="E250" s="95"/>
    </row>
    <row r="251" spans="2:5" x14ac:dyDescent="0.25">
      <c r="B251" s="79"/>
      <c r="C251" s="92"/>
      <c r="D251" s="93"/>
      <c r="E251" s="95"/>
    </row>
    <row r="252" spans="2:5" x14ac:dyDescent="0.25">
      <c r="B252" s="79"/>
      <c r="C252" s="92"/>
      <c r="D252" s="93"/>
      <c r="E252" s="95"/>
    </row>
    <row r="253" spans="2:5" x14ac:dyDescent="0.25">
      <c r="B253" s="79"/>
      <c r="C253" s="92"/>
      <c r="D253" s="93"/>
      <c r="E253" s="95"/>
    </row>
    <row r="254" spans="2:5" x14ac:dyDescent="0.25">
      <c r="B254" s="79"/>
      <c r="C254" s="92"/>
      <c r="D254" s="93"/>
      <c r="E254" s="95"/>
    </row>
    <row r="255" spans="2:5" x14ac:dyDescent="0.25">
      <c r="B255" s="79"/>
      <c r="C255" s="92"/>
      <c r="D255" s="93"/>
      <c r="E255" s="95"/>
    </row>
    <row r="256" spans="2:5" x14ac:dyDescent="0.25">
      <c r="B256" s="79"/>
      <c r="C256" s="92"/>
      <c r="D256" s="93"/>
      <c r="E256" s="95"/>
    </row>
    <row r="257" spans="2:5" x14ac:dyDescent="0.25">
      <c r="B257" s="79"/>
      <c r="C257" s="92"/>
      <c r="D257" s="93"/>
      <c r="E257" s="95"/>
    </row>
    <row r="258" spans="2:5" x14ac:dyDescent="0.25">
      <c r="B258" s="79"/>
      <c r="C258" s="92"/>
      <c r="D258" s="93"/>
      <c r="E258" s="95"/>
    </row>
    <row r="259" spans="2:5" x14ac:dyDescent="0.25">
      <c r="B259" s="79"/>
      <c r="C259" s="92"/>
      <c r="D259" s="93"/>
      <c r="E259" s="95"/>
    </row>
    <row r="260" spans="2:5" x14ac:dyDescent="0.25">
      <c r="B260" s="79"/>
      <c r="C260" s="92"/>
      <c r="D260" s="93"/>
      <c r="E260" s="95"/>
    </row>
    <row r="261" spans="2:5" x14ac:dyDescent="0.25">
      <c r="B261" s="79"/>
      <c r="C261" s="92"/>
      <c r="D261" s="93"/>
      <c r="E261" s="95"/>
    </row>
    <row r="262" spans="2:5" x14ac:dyDescent="0.25">
      <c r="B262" s="79"/>
      <c r="C262" s="92"/>
      <c r="D262" s="93"/>
      <c r="E262" s="95"/>
    </row>
    <row r="263" spans="2:5" x14ac:dyDescent="0.25">
      <c r="B263" s="79"/>
      <c r="C263" s="92"/>
      <c r="D263" s="93"/>
      <c r="E263" s="95"/>
    </row>
    <row r="264" spans="2:5" x14ac:dyDescent="0.25">
      <c r="B264" s="79"/>
      <c r="C264" s="92"/>
      <c r="D264" s="93"/>
      <c r="E264" s="95"/>
    </row>
    <row r="265" spans="2:5" x14ac:dyDescent="0.25">
      <c r="B265" s="79"/>
      <c r="C265" s="92"/>
      <c r="D265" s="93"/>
      <c r="E265" s="95"/>
    </row>
    <row r="266" spans="2:5" x14ac:dyDescent="0.25">
      <c r="B266" s="79"/>
      <c r="C266" s="92"/>
      <c r="D266" s="93"/>
      <c r="E266" s="95"/>
    </row>
    <row r="267" spans="2:5" x14ac:dyDescent="0.25">
      <c r="B267" s="79"/>
      <c r="C267" s="92"/>
      <c r="D267" s="93"/>
      <c r="E267" s="95"/>
    </row>
    <row r="268" spans="2:5" x14ac:dyDescent="0.25">
      <c r="B268" s="79"/>
      <c r="C268" s="92"/>
      <c r="D268" s="93"/>
      <c r="E268" s="95"/>
    </row>
    <row r="269" spans="2:5" x14ac:dyDescent="0.25">
      <c r="B269" s="79"/>
      <c r="C269" s="92"/>
      <c r="D269" s="93"/>
      <c r="E269" s="95"/>
    </row>
    <row r="270" spans="2:5" x14ac:dyDescent="0.25">
      <c r="B270" s="79"/>
      <c r="C270" s="92"/>
      <c r="D270" s="93"/>
      <c r="E270" s="95"/>
    </row>
    <row r="271" spans="2:5" x14ac:dyDescent="0.25">
      <c r="B271" s="79"/>
      <c r="C271" s="92"/>
      <c r="D271" s="93"/>
      <c r="E271" s="95"/>
    </row>
    <row r="272" spans="2:5" x14ac:dyDescent="0.25">
      <c r="B272" s="79"/>
      <c r="C272" s="92"/>
      <c r="D272" s="93"/>
      <c r="E272" s="95"/>
    </row>
    <row r="273" spans="2:5" x14ac:dyDescent="0.25">
      <c r="B273" s="79"/>
      <c r="C273" s="92"/>
      <c r="D273" s="93"/>
      <c r="E273" s="95"/>
    </row>
    <row r="274" spans="2:5" x14ac:dyDescent="0.25">
      <c r="B274" s="79"/>
      <c r="C274" s="92"/>
      <c r="D274" s="93"/>
      <c r="E274" s="95"/>
    </row>
    <row r="275" spans="2:5" x14ac:dyDescent="0.25">
      <c r="B275" s="79"/>
      <c r="C275" s="92"/>
      <c r="D275" s="93"/>
      <c r="E275" s="95"/>
    </row>
    <row r="276" spans="2:5" x14ac:dyDescent="0.25">
      <c r="B276" s="79"/>
      <c r="C276" s="92"/>
      <c r="D276" s="93"/>
      <c r="E276" s="95"/>
    </row>
    <row r="277" spans="2:5" x14ac:dyDescent="0.25">
      <c r="B277" s="79"/>
      <c r="C277" s="92"/>
      <c r="D277" s="93"/>
      <c r="E277" s="95"/>
    </row>
    <row r="278" spans="2:5" x14ac:dyDescent="0.25">
      <c r="B278" s="79"/>
      <c r="C278" s="92"/>
      <c r="D278" s="93"/>
      <c r="E278" s="95"/>
    </row>
    <row r="279" spans="2:5" x14ac:dyDescent="0.25">
      <c r="B279" s="79"/>
      <c r="C279" s="92"/>
      <c r="D279" s="93"/>
      <c r="E279" s="95"/>
    </row>
    <row r="280" spans="2:5" x14ac:dyDescent="0.25">
      <c r="B280" s="79"/>
      <c r="C280" s="92"/>
      <c r="D280" s="93"/>
      <c r="E280" s="95"/>
    </row>
    <row r="281" spans="2:5" x14ac:dyDescent="0.25">
      <c r="B281" s="79"/>
      <c r="C281" s="92"/>
      <c r="D281" s="93"/>
      <c r="E281" s="95"/>
    </row>
    <row r="282" spans="2:5" x14ac:dyDescent="0.25">
      <c r="B282" s="79"/>
      <c r="C282" s="92"/>
      <c r="D282" s="93"/>
      <c r="E282" s="95"/>
    </row>
    <row r="283" spans="2:5" x14ac:dyDescent="0.25">
      <c r="B283" s="79"/>
      <c r="C283" s="92"/>
      <c r="D283" s="93"/>
      <c r="E283" s="95"/>
    </row>
    <row r="284" spans="2:5" x14ac:dyDescent="0.25">
      <c r="B284" s="79"/>
      <c r="C284" s="92"/>
      <c r="D284" s="93"/>
      <c r="E284" s="95"/>
    </row>
    <row r="285" spans="2:5" x14ac:dyDescent="0.25">
      <c r="B285" s="79"/>
      <c r="C285" s="92"/>
      <c r="D285" s="93"/>
      <c r="E285" s="95"/>
    </row>
    <row r="286" spans="2:5" x14ac:dyDescent="0.25">
      <c r="B286" s="79"/>
      <c r="C286" s="92"/>
      <c r="D286" s="93"/>
      <c r="E286" s="95"/>
    </row>
    <row r="287" spans="2:5" x14ac:dyDescent="0.25">
      <c r="B287" s="79"/>
      <c r="C287" s="92"/>
      <c r="D287" s="93"/>
      <c r="E287" s="95"/>
    </row>
    <row r="288" spans="2:5" x14ac:dyDescent="0.25">
      <c r="B288" s="79"/>
      <c r="C288" s="92"/>
      <c r="D288" s="93"/>
      <c r="E288" s="95"/>
    </row>
    <row r="289" spans="2:5" x14ac:dyDescent="0.25">
      <c r="B289" s="79"/>
      <c r="C289" s="92"/>
      <c r="D289" s="93"/>
      <c r="E289" s="95"/>
    </row>
    <row r="290" spans="2:5" x14ac:dyDescent="0.25">
      <c r="B290" s="79"/>
      <c r="C290" s="92"/>
      <c r="D290" s="93"/>
      <c r="E290" s="95"/>
    </row>
    <row r="291" spans="2:5" x14ac:dyDescent="0.25">
      <c r="B291" s="79"/>
      <c r="C291" s="92"/>
      <c r="D291" s="93"/>
      <c r="E291" s="95"/>
    </row>
    <row r="292" spans="2:5" x14ac:dyDescent="0.25">
      <c r="B292" s="79"/>
      <c r="C292" s="92"/>
      <c r="D292" s="93"/>
      <c r="E292" s="95"/>
    </row>
    <row r="293" spans="2:5" x14ac:dyDescent="0.25">
      <c r="B293" s="79"/>
      <c r="C293" s="92"/>
      <c r="D293" s="93"/>
      <c r="E293" s="95"/>
    </row>
    <row r="294" spans="2:5" x14ac:dyDescent="0.25">
      <c r="B294" s="79"/>
      <c r="C294" s="92"/>
      <c r="D294" s="93"/>
      <c r="E294" s="95"/>
    </row>
    <row r="295" spans="2:5" x14ac:dyDescent="0.25">
      <c r="B295" s="79"/>
      <c r="C295" s="92"/>
      <c r="D295" s="93"/>
      <c r="E295" s="95"/>
    </row>
    <row r="296" spans="2:5" x14ac:dyDescent="0.25">
      <c r="B296" s="79"/>
      <c r="C296" s="92"/>
      <c r="D296" s="93"/>
      <c r="E296" s="95"/>
    </row>
    <row r="297" spans="2:5" x14ac:dyDescent="0.25">
      <c r="B297" s="79"/>
      <c r="C297" s="92"/>
      <c r="D297" s="93"/>
      <c r="E297" s="95"/>
    </row>
    <row r="298" spans="2:5" x14ac:dyDescent="0.25">
      <c r="B298" s="79"/>
      <c r="C298" s="92"/>
      <c r="D298" s="93"/>
      <c r="E298" s="95"/>
    </row>
    <row r="299" spans="2:5" x14ac:dyDescent="0.25">
      <c r="B299" s="79"/>
      <c r="C299" s="92"/>
      <c r="D299" s="93"/>
      <c r="E299" s="95"/>
    </row>
    <row r="300" spans="2:5" x14ac:dyDescent="0.25">
      <c r="B300" s="79"/>
      <c r="C300" s="92"/>
      <c r="D300" s="93"/>
      <c r="E300" s="95"/>
    </row>
    <row r="301" spans="2:5" x14ac:dyDescent="0.25">
      <c r="B301" s="79"/>
      <c r="C301" s="92"/>
      <c r="D301" s="93"/>
      <c r="E301" s="95"/>
    </row>
    <row r="302" spans="2:5" x14ac:dyDescent="0.25">
      <c r="B302" s="79"/>
      <c r="C302" s="92"/>
      <c r="D302" s="93"/>
      <c r="E302" s="95"/>
    </row>
    <row r="303" spans="2:5" x14ac:dyDescent="0.25">
      <c r="B303" s="79"/>
      <c r="C303" s="92"/>
      <c r="D303" s="93"/>
      <c r="E303" s="95"/>
    </row>
    <row r="304" spans="2:5" x14ac:dyDescent="0.25">
      <c r="B304" s="79"/>
      <c r="C304" s="92"/>
      <c r="D304" s="93"/>
      <c r="E304" s="95"/>
    </row>
    <row r="305" spans="2:5" x14ac:dyDescent="0.25">
      <c r="B305" s="79"/>
      <c r="C305" s="92"/>
      <c r="D305" s="93"/>
      <c r="E305" s="95"/>
    </row>
    <row r="306" spans="2:5" x14ac:dyDescent="0.25">
      <c r="B306" s="79"/>
      <c r="C306" s="92"/>
      <c r="D306" s="93"/>
      <c r="E306" s="95"/>
    </row>
    <row r="307" spans="2:5" x14ac:dyDescent="0.25">
      <c r="B307" s="79"/>
      <c r="C307" s="92"/>
      <c r="D307" s="93"/>
      <c r="E307" s="95"/>
    </row>
    <row r="308" spans="2:5" x14ac:dyDescent="0.25">
      <c r="B308" s="79"/>
      <c r="C308" s="92"/>
      <c r="D308" s="93"/>
      <c r="E308" s="95"/>
    </row>
    <row r="309" spans="2:5" x14ac:dyDescent="0.25">
      <c r="B309" s="79"/>
      <c r="C309" s="92"/>
      <c r="D309" s="93"/>
      <c r="E309" s="95"/>
    </row>
    <row r="310" spans="2:5" x14ac:dyDescent="0.25">
      <c r="B310" s="79"/>
      <c r="C310" s="92"/>
      <c r="D310" s="93"/>
      <c r="E310" s="95"/>
    </row>
    <row r="311" spans="2:5" x14ac:dyDescent="0.25">
      <c r="B311" s="79"/>
      <c r="C311" s="92"/>
      <c r="D311" s="93"/>
      <c r="E311" s="95"/>
    </row>
    <row r="312" spans="2:5" x14ac:dyDescent="0.25">
      <c r="B312" s="79"/>
      <c r="C312" s="92"/>
      <c r="D312" s="93"/>
      <c r="E312" s="95"/>
    </row>
    <row r="313" spans="2:5" x14ac:dyDescent="0.25">
      <c r="B313" s="79"/>
      <c r="C313" s="92"/>
      <c r="D313" s="93"/>
      <c r="E313" s="95"/>
    </row>
    <row r="314" spans="2:5" x14ac:dyDescent="0.25">
      <c r="B314" s="79"/>
      <c r="C314" s="92"/>
      <c r="D314" s="93"/>
      <c r="E314" s="95"/>
    </row>
    <row r="315" spans="2:5" x14ac:dyDescent="0.25">
      <c r="B315" s="79"/>
      <c r="C315" s="92"/>
      <c r="D315" s="93"/>
      <c r="E315" s="95"/>
    </row>
    <row r="316" spans="2:5" x14ac:dyDescent="0.25">
      <c r="B316" s="79"/>
      <c r="C316" s="92"/>
      <c r="D316" s="93"/>
      <c r="E316" s="95"/>
    </row>
    <row r="317" spans="2:5" x14ac:dyDescent="0.25">
      <c r="B317" s="79"/>
      <c r="C317" s="92"/>
      <c r="D317" s="93"/>
      <c r="E317" s="95"/>
    </row>
    <row r="318" spans="2:5" x14ac:dyDescent="0.25">
      <c r="B318" s="79"/>
      <c r="C318" s="92"/>
      <c r="D318" s="93"/>
      <c r="E318" s="95"/>
    </row>
    <row r="319" spans="2:5" x14ac:dyDescent="0.25">
      <c r="B319" s="79"/>
      <c r="C319" s="92"/>
      <c r="D319" s="93"/>
      <c r="E319" s="95"/>
    </row>
    <row r="320" spans="2:5" x14ac:dyDescent="0.25">
      <c r="B320" s="79"/>
      <c r="C320" s="92"/>
      <c r="D320" s="93"/>
      <c r="E320" s="95"/>
    </row>
    <row r="321" spans="2:5" x14ac:dyDescent="0.25">
      <c r="B321" s="79"/>
      <c r="C321" s="92"/>
      <c r="D321" s="93"/>
      <c r="E321" s="95"/>
    </row>
    <row r="322" spans="2:5" x14ac:dyDescent="0.25">
      <c r="B322" s="79"/>
      <c r="C322" s="92"/>
      <c r="D322" s="93"/>
      <c r="E322" s="95"/>
    </row>
    <row r="323" spans="2:5" x14ac:dyDescent="0.25">
      <c r="B323" s="79"/>
      <c r="C323" s="92"/>
      <c r="D323" s="93"/>
      <c r="E323" s="95"/>
    </row>
    <row r="324" spans="2:5" x14ac:dyDescent="0.25">
      <c r="B324" s="79"/>
      <c r="C324" s="92"/>
      <c r="D324" s="93"/>
      <c r="E324" s="95"/>
    </row>
    <row r="325" spans="2:5" x14ac:dyDescent="0.25">
      <c r="B325" s="79"/>
      <c r="C325" s="92"/>
      <c r="D325" s="93"/>
      <c r="E325" s="95"/>
    </row>
    <row r="326" spans="2:5" x14ac:dyDescent="0.25">
      <c r="B326" s="79"/>
      <c r="C326" s="92"/>
      <c r="D326" s="93"/>
      <c r="E326" s="95"/>
    </row>
    <row r="327" spans="2:5" x14ac:dyDescent="0.25">
      <c r="B327" s="79"/>
      <c r="C327" s="92"/>
      <c r="D327" s="93"/>
      <c r="E327" s="95"/>
    </row>
    <row r="328" spans="2:5" x14ac:dyDescent="0.25">
      <c r="B328" s="79"/>
      <c r="C328" s="92"/>
      <c r="D328" s="93"/>
      <c r="E328" s="95"/>
    </row>
    <row r="329" spans="2:5" x14ac:dyDescent="0.25">
      <c r="B329" s="79"/>
      <c r="C329" s="92"/>
      <c r="D329" s="93"/>
      <c r="E329" s="95"/>
    </row>
    <row r="330" spans="2:5" x14ac:dyDescent="0.25">
      <c r="B330" s="79"/>
      <c r="C330" s="92"/>
      <c r="D330" s="93"/>
      <c r="E330" s="95"/>
    </row>
    <row r="331" spans="2:5" x14ac:dyDescent="0.25">
      <c r="B331" s="79"/>
      <c r="C331" s="92"/>
      <c r="D331" s="93"/>
      <c r="E331" s="95"/>
    </row>
    <row r="332" spans="2:5" x14ac:dyDescent="0.25">
      <c r="B332" s="79"/>
      <c r="C332" s="92"/>
      <c r="D332" s="93"/>
      <c r="E332" s="95"/>
    </row>
    <row r="333" spans="2:5" x14ac:dyDescent="0.25">
      <c r="B333" s="79"/>
      <c r="C333" s="92"/>
      <c r="D333" s="93"/>
      <c r="E333" s="95"/>
    </row>
    <row r="334" spans="2:5" x14ac:dyDescent="0.25">
      <c r="B334" s="79"/>
      <c r="C334" s="92"/>
      <c r="D334" s="93"/>
      <c r="E334" s="95"/>
    </row>
    <row r="335" spans="2:5" x14ac:dyDescent="0.25">
      <c r="B335" s="79"/>
      <c r="C335" s="92"/>
      <c r="D335" s="93"/>
      <c r="E335" s="95"/>
    </row>
    <row r="336" spans="2:5" x14ac:dyDescent="0.25">
      <c r="B336" s="79"/>
      <c r="C336" s="92"/>
      <c r="D336" s="93"/>
      <c r="E336" s="95"/>
    </row>
    <row r="337" spans="2:5" x14ac:dyDescent="0.25">
      <c r="B337" s="79"/>
      <c r="C337" s="92"/>
      <c r="D337" s="93"/>
      <c r="E337" s="95"/>
    </row>
    <row r="338" spans="2:5" x14ac:dyDescent="0.25">
      <c r="B338" s="79"/>
      <c r="C338" s="92"/>
      <c r="D338" s="93"/>
      <c r="E338" s="95"/>
    </row>
    <row r="339" spans="2:5" x14ac:dyDescent="0.25">
      <c r="B339" s="79"/>
      <c r="C339" s="92"/>
      <c r="D339" s="93"/>
      <c r="E339" s="95"/>
    </row>
    <row r="340" spans="2:5" x14ac:dyDescent="0.25">
      <c r="B340" s="79"/>
      <c r="C340" s="92"/>
      <c r="D340" s="93"/>
      <c r="E340" s="95"/>
    </row>
    <row r="341" spans="2:5" x14ac:dyDescent="0.25">
      <c r="D341" s="76"/>
    </row>
  </sheetData>
  <dataValidations count="1">
    <dataValidation type="list" allowBlank="1" showInputMessage="1" showErrorMessage="1" sqref="E4:E340" xr:uid="{CE9EE610-18B8-4BBE-8B49-CE76BD56D753}">
      <formula1>$G$5:$G$14</formula1>
    </dataValidation>
  </dataValidations>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BAC590D-0155-4C92-AF1D-3F92386F637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11</vt:i4>
      </vt:variant>
      <vt:variant>
        <vt:lpstr>Rangos con nombre</vt:lpstr>
      </vt:variant>
      <vt:variant>
        <vt:i4>2</vt:i4>
      </vt:variant>
    </vt:vector>
  </HeadingPairs>
  <TitlesOfParts>
    <vt:vector size="13" baseType="lpstr">
      <vt:lpstr>REGISTR</vt:lpstr>
      <vt:lpstr>BASE DE DATOS</vt:lpstr>
      <vt:lpstr>FACTURA</vt:lpstr>
      <vt:lpstr>FACTURA INGLES</vt:lpstr>
      <vt:lpstr>NROS</vt:lpstr>
      <vt:lpstr>CONTRATO TF</vt:lpstr>
      <vt:lpstr>CONTRATO kwH</vt:lpstr>
      <vt:lpstr>PRODUCTOS</vt:lpstr>
      <vt:lpstr>NUMEROS DE SECUENCIAS</vt:lpstr>
      <vt:lpstr>REGISTRO DE VENTAS</vt:lpstr>
      <vt:lpstr>CLIENTES</vt:lpstr>
      <vt:lpstr>'CONTRATO TF'!Print_Area</vt:lpstr>
      <vt:lpstr>FACTURA!Print_Area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JAVIER</dc:creator>
  <cp:lastModifiedBy>Alexander Garcia</cp:lastModifiedBy>
  <cp:lastPrinted>2025-09-12T21:30:55Z</cp:lastPrinted>
  <dcterms:created xsi:type="dcterms:W3CDTF">2020-10-02T15:36:16Z</dcterms:created>
  <dcterms:modified xsi:type="dcterms:W3CDTF">2026-06-20T15:07:54Z</dcterms:modified>
</cp:coreProperties>
</file>